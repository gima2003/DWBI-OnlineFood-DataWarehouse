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BI_Assignment_2_Answer_IT23680234\Excel_IT23680234\"/>
    </mc:Choice>
  </mc:AlternateContent>
  <xr:revisionPtr revIDLastSave="0" documentId="13_ncr:1_{A38B4D81-FAFB-4197-BB9D-DA2877003711}" xr6:coauthVersionLast="47" xr6:coauthVersionMax="47" xr10:uidLastSave="{00000000-0000-0000-0000-000000000000}"/>
  <bookViews>
    <workbookView xWindow="0" yWindow="360" windowWidth="23256" windowHeight="12456" activeTab="1" xr2:uid="{D66312FF-C909-4F7F-BCC5-FD8D80ECB5EF}"/>
  </bookViews>
  <sheets>
    <sheet name="Dice" sheetId="7" r:id="rId1"/>
    <sheet name="Pivot" sheetId="6" r:id="rId2"/>
    <sheet name="Slice" sheetId="5" r:id="rId3"/>
    <sheet name="Drill-down" sheetId="4" r:id="rId4"/>
    <sheet name="Roll-up" sheetId="3" r:id="rId5"/>
  </sheets>
  <calcPr calcId="191029"/>
  <pivotCaches>
    <pivotCache cacheId="0" r:id="rId6"/>
    <pivotCache cacheId="1" r:id="rId7"/>
    <pivotCache cacheId="2" r:id="rId8"/>
    <pivotCache cacheId="3" r:id="rId9"/>
    <pivotCache cacheId="1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45FDF1-6E8E-4511-B5E9-1C5DEF5217C7}" odcFile="C:\Users\gimha_9pk7du7\OneDrive\Documents\My Data Sources\localhost_SSAD IT23680234_SSAS IT23680234_Cube.odc" keepAlive="1" name="localhost_SSAD IT23680234_SSAS IT23680234_Cube" type="5" refreshedVersion="8" background="1">
    <dbPr connection="Provider=MSOLAP.8;Integrated Security=SSPI;Persist Security Info=True;Initial Catalog=IT23680234_SSAS;Data Source=localhost\SSAD;MDX Compatibility=1;Safety Options=2;MDX Missing Member Mode=Error;Update Isolation Level=2" command="IT23680234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localhost_SSAD IT23680234_SSAS IT23680234_Cube"/>
    <s v="{[Dim Date].[Month Number].&amp;[1]}"/>
    <s v="{[Dim Restaurant].[Cuisine Type].&amp;[North Indian]}"/>
    <s v="{[Dim Date].[Month Number].&amp;[2]}"/>
    <s v="{[Dim Restaurant].[City].&amp;[Bangalore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<sst xmlns="http://schemas.openxmlformats.org/spreadsheetml/2006/main" count="193" uniqueCount="32">
  <si>
    <t>Amount</t>
  </si>
  <si>
    <t>Delivery Fee</t>
  </si>
  <si>
    <t>Fact Order Count</t>
  </si>
  <si>
    <t>Total Amount</t>
  </si>
  <si>
    <t>Row Labels</t>
  </si>
  <si>
    <t>2025</t>
  </si>
  <si>
    <t>Grand Total</t>
  </si>
  <si>
    <t>Ahmedabad</t>
  </si>
  <si>
    <t>Bangalore</t>
  </si>
  <si>
    <t>Chennai</t>
  </si>
  <si>
    <t>Delhi</t>
  </si>
  <si>
    <t>Hyderabad</t>
  </si>
  <si>
    <t>Kolkata</t>
  </si>
  <si>
    <t>Mumbai</t>
  </si>
  <si>
    <t>Pune</t>
  </si>
  <si>
    <t>Column Labels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</si>
  <si>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</si>
  <si>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</si>
  <si>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</si>
  <si>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</si>
  <si>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</si>
  <si>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</si>
  <si>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</si>
  <si>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</si>
  <si>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</si>
  <si>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</si>
  <si>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</si>
  <si>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</si>
  <si>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Month Number</t>
  </si>
  <si>
    <t>City</t>
  </si>
  <si>
    <t>Cuisine Type</t>
  </si>
  <si>
    <t>North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</si>
</sst>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mhani Pabodha" refreshedDate="46115.458201388887" backgroundQuery="1" createdVersion="8" refreshedVersion="8" minRefreshableVersion="3" recordCount="0" supportSubquery="1" supportAdvancedDrill="1" xr:uid="{83F630AE-C5E1-441E-997F-BDBF80CCEBAB}">
  <cacheSource type="external" connectionId="1"/>
  <cacheFields count="6">
    <cacheField name="[Dim Restaurant].[City].[City]" caption="City" numFmtId="0" hierarchy="21" level="1">
      <sharedItems count="8">
        <s v="[Dim Restaurant].[City].&amp;[Ahmedabad]" c="Ahmedabad"/>
        <s v="[Dim Restaurant].[City].&amp;[Bangalore]" c="Bangalore"/>
        <s v="[Dim Restaurant].[City].&amp;[Chennai]" c="Chennai"/>
        <s v="[Dim Restaurant].[City].&amp;[Delhi]" c="Delhi"/>
        <s v="[Dim Restaurant].[City].&amp;[Hyderabad]" c="Hyderabad"/>
        <s v="[Dim Restaurant].[City].&amp;[Kolkata]" c="Kolkata"/>
        <s v="[Dim Restaurant].[City].&amp;[Mumbai]" c="Mumbai"/>
        <s v="[Dim Restaurant].[City].&amp;[Pune]" c="Pune"/>
      </sharedItems>
    </cacheField>
    <cacheField name="[Dim Date].[Year Number].[Year Number]" caption="Year Number" numFmtId="0" hierarchy="20" level="1">
      <sharedItems count="1">
        <s v="[Dim Date].[Year Number].&amp;[2025]" c="2025"/>
      </sharedItems>
    </cacheField>
    <cacheField name="[Measures].[Fact Order Count]" caption="Fact Order Count" numFmtId="0" hierarchy="34" level="32767"/>
    <cacheField name="[Measures].[Amount]" caption="Amount" numFmtId="0" hierarchy="30" level="32767"/>
    <cacheField name="[Measures].[Delivery Fee]" caption="Delivery Fee" numFmtId="0" hierarchy="31" level="32767"/>
    <cacheField name="[Measures].[Total Amount]" caption="Total Amount" numFmtId="0" hierarchy="32" level="32767"/>
  </cacheFields>
  <cacheHierarchies count="35">
    <cacheHierarchy uniqueName="[Dim Customer].[Address]" caption="Address" attribute="1" defaultMemberUniqueName="[Dim Customer].[Address].[All]" allUniqueName="[Dim Customer].[Address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Effective Date]" caption="Effective Date" attribute="1" defaultMemberUniqueName="[Dim Customer].[Effective Date].[All]" allUniqueName="[Dim Customer].[Effective Date].[All]" dimensionUniqueName="[Dim Customer]" displayFolder="" count="0" unbalanced="0"/>
    <cacheHierarchy uniqueName="[Dim Customer].[Email]" caption="Email" attribute="1" defaultMemberUniqueName="[Dim Customer].[Email].[All]" allUniqueName="[Dim Customer].[Email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2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Customer].[Phone]" caption="Phone" attribute="1" defaultMemberUniqueName="[Dim Customer].[Phone].[All]" allUniqueName="[Dim Customer].[Phone].[All]" dimensionUniqueName="[Dim Customer]" displayFolder="" count="0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2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Restaurant].[City]" caption="City" attribute="1" defaultMemberUniqueName="[Dim Restaurant].[City].[All]" allUniqueName="[Dim Restaurant].[City].[All]" dimensionUniqueName="[Dim Restaurant]" displayFolder="" count="2" unbalanced="0">
      <fieldsUsage count="2">
        <fieldUsage x="-1"/>
        <fieldUsage x="0"/>
      </fieldsUsage>
    </cacheHierarchy>
    <cacheHierarchy uniqueName="[Dim Restaurant].[Cuisine Type]" caption="Cuisine Type" attribute="1" defaultMemberUniqueName="[Dim Restaurant].[Cuisine Type].[All]" allUniqueName="[Dim Restaurant].[Cuisine Type].[All]" dimensionUniqueName="[Dim Restaurant]" displayFolder="" count="2" unbalanced="0"/>
    <cacheHierarchy uniqueName="[Dim Restaurant].[Name]" caption="Name" attribute="1" defaultMemberUniqueName="[Dim Restaurant].[Name].[All]" allUniqueName="[Dim Restaurant].[Name].[All]" dimensionUniqueName="[Dim Restaurant]" displayFolder="" count="2" unbalanced="0"/>
    <cacheHierarchy uniqueName="[Dim Restaurant].[Rating]" caption="Rating" attribute="1" defaultMemberUniqueName="[Dim Restaurant].[Rating].[All]" allUniqueName="[Dim Restaurant].[Rating].[All]" dimensionUniqueName="[Dim Restaurant]" displayFolder="" count="0" unbalanced="0"/>
    <cacheHierarchy uniqueName="[Dim Restaurant].[Restaurant Hierarchy]" caption="Restaurant Hierarchy" defaultMemberUniqueName="[Dim Restaurant].[Restaurant Hierarchy].[All]" allUniqueName="[Dim Restaurant].[Restaurant Hierarchy].[All]" dimensionUniqueName="[Dim Restaurant]" displayFolder="" count="0" unbalanced="0"/>
    <cacheHierarchy uniqueName="[Dim Restaurant].[Restaurant Id]" caption="Restaurant Id" attribute="1" defaultMemberUniqueName="[Dim Restaurant].[Restaurant Id].[All]" allUniqueName="[Dim Restaurant].[Restaurant Id].[All]" dimensionUniqueName="[Dim Restaurant]" displayFolder="" count="0" unbalanced="0"/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 hidden="1"/>
    <cacheHierarchy uniqueName="[Dim Date].[Month Name]" caption="Month Name" attribute="1" defaultMemberUniqueName="[Dim Date].[Month Name].[All]" allUniqueName="[Dim Date].[Month Name].[All]" dimensionUniqueName="[Dim Date]" displayFolder="" count="0" unbalanced="0" hidden="1"/>
    <cacheHierarchy uniqueName="[Measures].[Amount]" caption="Amount" measure="1" displayFolder="" measureGroup="Fact Order" count="0" oneField="1">
      <fieldsUsage count="1">
        <fieldUsage x="3"/>
      </fieldsUsage>
    </cacheHierarchy>
    <cacheHierarchy uniqueName="[Measures].[Delivery Fee]" caption="Delivery Fee" measure="1" displayFolder="" measureGroup="Fact Order" count="0" oneField="1">
      <fieldsUsage count="1">
        <fieldUsage x="4"/>
      </fieldsUsage>
    </cacheHierarchy>
    <cacheHierarchy uniqueName="[Measures].[Total Amount]" caption="Total Amount" measure="1" displayFolder="" measureGroup="Fact Order" count="0" oneField="1">
      <fieldsUsage count="1">
        <fieldUsage x="5"/>
      </fieldsUsage>
    </cacheHierarchy>
    <cacheHierarchy uniqueName="[Measures].[Txn Process Time Hours]" caption="Txn Process Time Hours" measure="1" displayFolder="" measureGroup="Fact Order" count="0"/>
    <cacheHierarchy uniqueName="[Measures].[Fact Order Count]" caption="Fact Order Count" measure="1" displayFolder="" measureGroup="Fact Order" count="0" oneField="1">
      <fieldsUsage count="1">
        <fieldUsage x="2"/>
      </fieldsUsage>
    </cacheHierarchy>
  </cacheHierarchies>
  <kpis count="0"/>
  <dimensions count="4">
    <dimension name="Dim Customer" uniqueName="[Dim Customer]" caption="Dim Customer"/>
    <dimension name="Dim Date" uniqueName="[Dim Date]" caption="Dim Date"/>
    <dimension name="Dim Restaurant" uniqueName="[Dim Restaurant]" caption="Dim Restaurant"/>
    <dimension measure="1" name="Measures" uniqueName="[Measures]" caption="Measures"/>
  </dimensions>
  <measureGroups count="1">
    <measureGroup name="Fact Order" caption="Fact Order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mhani Pabodha" refreshedDate="46115.460386342595" backgroundQuery="1" createdVersion="8" refreshedVersion="8" minRefreshableVersion="3" recordCount="0" supportSubquery="1" supportAdvancedDrill="1" xr:uid="{A45E4978-6DC0-4551-BA57-908592E33562}">
  <cacheSource type="external" connectionId="1"/>
  <cacheFields count="7">
    <cacheField name="[Dim Restaurant].[City].[City]" caption="City" numFmtId="0" hierarchy="21" level="1">
      <sharedItems count="8">
        <s v="[Dim Restaurant].[City].&amp;[Ahmedabad]" c="Ahmedabad"/>
        <s v="[Dim Restaurant].[City].&amp;[Bangalore]" c="Bangalore"/>
        <s v="[Dim Restaurant].[City].&amp;[Chennai]" c="Chennai"/>
        <s v="[Dim Restaurant].[City].&amp;[Delhi]" c="Delhi"/>
        <s v="[Dim Restaurant].[City].&amp;[Hyderabad]" c="Hyderabad"/>
        <s v="[Dim Restaurant].[City].&amp;[Kolkata]" c="Kolkata"/>
        <s v="[Dim Restaurant].[City].&amp;[Mumbai]" c="Mumbai"/>
        <s v="[Dim Restaurant].[City].&amp;[Pune]" c="Pune"/>
      </sharedItems>
    </cacheField>
    <cacheField name="[Dim Date].[Year Number].[Year Number]" caption="Year Number" numFmtId="0" hierarchy="20" level="1">
      <sharedItems count="1">
        <s v="[Dim Date].[Year Number].&amp;[2025]" c="2025"/>
      </sharedItems>
    </cacheField>
    <cacheField name="[Dim Date].[Quarter Number].[Quarter Number]" caption="Quarter Number" numFmtId="0" hierarchy="19" level="1">
      <sharedItems count="4">
        <s v="[Dim Date].[Quarter Number].&amp;[1]" c="1"/>
        <s v="[Dim Date].[Quarter Number].&amp;[2]" c="2"/>
        <s v="[Dim Date].[Quarter Number].&amp;[3]" c="3"/>
        <s v="[Dim Date].[Quarter Number].&amp;[4]" c="4"/>
      </sharedItems>
    </cacheField>
    <cacheField name="[Dim Date].[Month Number].[Month Number]" caption="Month Number" numFmtId="0" hierarchy="18" level="1">
      <sharedItems count="12">
        <s v="[Dim Date].[Month Number].&amp;[1]" c="1"/>
        <s v="[Dim Date].[Month Number].&amp;[10]" c="10"/>
        <s v="[Dim Date].[Month Number].&amp;[11]" c="11"/>
        <s v="[Dim Date].[Month Number].&amp;[12]" c="12"/>
        <s v="[Dim Date].[Month Number].&amp;[2]" c="2"/>
        <s v="[Dim Date].[Month Number].&amp;[3]" c="3"/>
        <s v="[Dim Date].[Month Number].&amp;[4]" c="4"/>
        <s v="[Dim Date].[Month Number].&amp;[5]" c="5"/>
        <s v="[Dim Date].[Month Number].&amp;[6]" c="6"/>
        <s v="[Dim Date].[Month Number].&amp;[7]" c="7"/>
        <s v="[Dim Date].[Month Number].&amp;[8]" c="8"/>
        <s v="[Dim Date].[Month Number].&amp;[9]" c="9"/>
      </sharedItems>
    </cacheField>
    <cacheField name="[Measures].[Fact Order Count]" caption="Fact Order Count" numFmtId="0" hierarchy="34" level="32767"/>
    <cacheField name="[Measures].[Total Amount]" caption="Total Amount" numFmtId="0" hierarchy="32" level="32767"/>
    <cacheField name="[Measures].[Delivery Fee]" caption="Delivery Fee" numFmtId="0" hierarchy="31" level="32767"/>
  </cacheFields>
  <cacheHierarchies count="35">
    <cacheHierarchy uniqueName="[Dim Customer].[Address]" caption="Address" attribute="1" defaultMemberUniqueName="[Dim Customer].[Address].[All]" allUniqueName="[Dim Customer].[Address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Effective Date]" caption="Effective Date" attribute="1" defaultMemberUniqueName="[Dim Customer].[Effective Date].[All]" allUniqueName="[Dim Customer].[Effective Date].[All]" dimensionUniqueName="[Dim Customer]" displayFolder="" count="0" unbalanced="0"/>
    <cacheHierarchy uniqueName="[Dim Customer].[Email]" caption="Email" attribute="1" defaultMemberUniqueName="[Dim Customer].[Email].[All]" allUniqueName="[Dim Customer].[Email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2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Customer].[Phone]" caption="Phone" attribute="1" defaultMemberUniqueName="[Dim Customer].[Phone].[All]" allUniqueName="[Dim Customer].[Phone].[All]" dimensionUniqueName="[Dim Customer]" displayFolder="" count="0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2" unbalanced="0">
      <fieldsUsage count="2">
        <fieldUsage x="-1"/>
        <fieldUsage x="3"/>
      </fieldsUsage>
    </cacheHierarchy>
    <cacheHierarchy uniqueName="[Dim Date].[Quarter Number]" caption="Quarter Number" attribute="1" defaultMemberUniqueName="[Dim Date].[Quarter Number].[All]" allUniqueName="[Dim Date].[Quarter Number].[All]" dimensionUniqueName="[Dim Date]" displayFolder="" count="2" unbalanced="0">
      <fieldsUsage count="2">
        <fieldUsage x="-1"/>
        <fieldUsage x="2"/>
      </fieldsUsage>
    </cacheHierarchy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Restaurant].[City]" caption="City" attribute="1" defaultMemberUniqueName="[Dim Restaurant].[City].[All]" allUniqueName="[Dim Restaurant].[City].[All]" dimensionUniqueName="[Dim Restaurant]" displayFolder="" count="2" unbalanced="0">
      <fieldsUsage count="2">
        <fieldUsage x="-1"/>
        <fieldUsage x="0"/>
      </fieldsUsage>
    </cacheHierarchy>
    <cacheHierarchy uniqueName="[Dim Restaurant].[Cuisine Type]" caption="Cuisine Type" attribute="1" defaultMemberUniqueName="[Dim Restaurant].[Cuisine Type].[All]" allUniqueName="[Dim Restaurant].[Cuisine Type].[All]" dimensionUniqueName="[Dim Restaurant]" displayFolder="" count="2" unbalanced="0"/>
    <cacheHierarchy uniqueName="[Dim Restaurant].[Name]" caption="Name" attribute="1" defaultMemberUniqueName="[Dim Restaurant].[Name].[All]" allUniqueName="[Dim Restaurant].[Name].[All]" dimensionUniqueName="[Dim Restaurant]" displayFolder="" count="2" unbalanced="0"/>
    <cacheHierarchy uniqueName="[Dim Restaurant].[Rating]" caption="Rating" attribute="1" defaultMemberUniqueName="[Dim Restaurant].[Rating].[All]" allUniqueName="[Dim Restaurant].[Rating].[All]" dimensionUniqueName="[Dim Restaurant]" displayFolder="" count="0" unbalanced="0"/>
    <cacheHierarchy uniqueName="[Dim Restaurant].[Restaurant Hierarchy]" caption="Restaurant Hierarchy" defaultMemberUniqueName="[Dim Restaurant].[Restaurant Hierarchy].[All]" allUniqueName="[Dim Restaurant].[Restaurant Hierarchy].[All]" dimensionUniqueName="[Dim Restaurant]" displayFolder="" count="0" unbalanced="0"/>
    <cacheHierarchy uniqueName="[Dim Restaurant].[Restaurant Id]" caption="Restaurant Id" attribute="1" defaultMemberUniqueName="[Dim Restaurant].[Restaurant Id].[All]" allUniqueName="[Dim Restaurant].[Restaurant Id].[All]" dimensionUniqueName="[Dim Restaurant]" displayFolder="" count="0" unbalanced="0"/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 hidden="1"/>
    <cacheHierarchy uniqueName="[Dim Date].[Month Name]" caption="Month Name" attribute="1" defaultMemberUniqueName="[Dim Date].[Month Name].[All]" allUniqueName="[Dim Date].[Month Name].[All]" dimensionUniqueName="[Dim Date]" displayFolder="" count="0" unbalanced="0" hidden="1"/>
    <cacheHierarchy uniqueName="[Measures].[Amount]" caption="Amount" measure="1" displayFolder="" measureGroup="Fact Order" count="0"/>
    <cacheHierarchy uniqueName="[Measures].[Delivery Fee]" caption="Delivery Fee" measure="1" displayFolder="" measureGroup="Fact Order" count="0" oneField="1">
      <fieldsUsage count="1">
        <fieldUsage x="6"/>
      </fieldsUsage>
    </cacheHierarchy>
    <cacheHierarchy uniqueName="[Measures].[Total Amount]" caption="Total Amount" measure="1" displayFolder="" measureGroup="Fact Order" count="0" oneField="1">
      <fieldsUsage count="1">
        <fieldUsage x="5"/>
      </fieldsUsage>
    </cacheHierarchy>
    <cacheHierarchy uniqueName="[Measures].[Txn Process Time Hours]" caption="Txn Process Time Hours" measure="1" displayFolder="" measureGroup="Fact Order" count="0"/>
    <cacheHierarchy uniqueName="[Measures].[Fact Order Count]" caption="Fact Order Count" measure="1" displayFolder="" measureGroup="Fact Order" count="0" oneField="1">
      <fieldsUsage count="1">
        <fieldUsage x="4"/>
      </fieldsUsage>
    </cacheHierarchy>
  </cacheHierarchies>
  <kpis count="0"/>
  <dimensions count="4">
    <dimension name="Dim Customer" uniqueName="[Dim Customer]" caption="Dim Customer"/>
    <dimension name="Dim Date" uniqueName="[Dim Date]" caption="Dim Date"/>
    <dimension name="Dim Restaurant" uniqueName="[Dim Restaurant]" caption="Dim Restaurant"/>
    <dimension measure="1" name="Measures" uniqueName="[Measures]" caption="Measures"/>
  </dimensions>
  <measureGroups count="1">
    <measureGroup name="Fact Order" caption="Fact Order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mhani Pabodha" refreshedDate="46113.875441550925" backgroundQuery="1" createdVersion="8" refreshedVersion="8" minRefreshableVersion="3" recordCount="0" supportSubquery="1" supportAdvancedDrill="1" xr:uid="{E45E339D-7011-4B38-8CC5-97D4D04DA330}">
  <cacheSource type="external" connectionId="1"/>
  <cacheFields count="6">
    <cacheField name="[Measures].[Fact Order Count]" caption="Fact Order Count" numFmtId="0" hierarchy="34" level="32767"/>
    <cacheField name="[Measures].[Amount]" caption="Amount" numFmtId="0" hierarchy="30" level="32767"/>
    <cacheField name="[Measures].[Delivery Fee]" caption="Delivery Fee" numFmtId="0" hierarchy="31" level="32767"/>
    <cacheField name="[Measures].[Total Amount]" caption="Total Amount" numFmtId="0" hierarchy="32" level="32767"/>
    <cacheField name="[Dim Restaurant].[City].[City]" caption="City" numFmtId="0" hierarchy="21" level="1">
      <sharedItems count="8">
        <s v="[Dim Restaurant].[City].&amp;[Ahmedabad]" c="Ahmedabad"/>
        <s v="[Dim Restaurant].[City].&amp;[Bangalore]" c="Bangalore"/>
        <s v="[Dim Restaurant].[City].&amp;[Chennai]" c="Chennai"/>
        <s v="[Dim Restaurant].[City].&amp;[Delhi]" c="Delhi"/>
        <s v="[Dim Restaurant].[City].&amp;[Hyderabad]" c="Hyderabad"/>
        <s v="[Dim Restaurant].[City].&amp;[Kolkata]" c="Kolkata"/>
        <s v="[Dim Restaurant].[City].&amp;[Mumbai]" c="Mumbai"/>
        <s v="[Dim Restaurant].[City].&amp;[Pune]" c="Pune"/>
      </sharedItems>
    </cacheField>
    <cacheField name="[Dim Date].[Year Number].[Year Number]" caption="Year Number" numFmtId="0" hierarchy="20" level="1">
      <sharedItems count="1">
        <s v="[Dim Date].[Year Number].&amp;[2025]" c="2025"/>
      </sharedItems>
    </cacheField>
  </cacheFields>
  <cacheHierarchies count="35">
    <cacheHierarchy uniqueName="[Dim Customer].[Address]" caption="Address" attribute="1" defaultMemberUniqueName="[Dim Customer].[Address].[All]" allUniqueName="[Dim Customer].[Address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Effective Date]" caption="Effective Date" attribute="1" defaultMemberUniqueName="[Dim Customer].[Effective Date].[All]" allUniqueName="[Dim Customer].[Effective Date].[All]" dimensionUniqueName="[Dim Customer]" displayFolder="" count="0" unbalanced="0"/>
    <cacheHierarchy uniqueName="[Dim Customer].[Email]" caption="Email" attribute="1" defaultMemberUniqueName="[Dim Customer].[Email].[All]" allUniqueName="[Dim Customer].[Email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2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Customer].[Phone]" caption="Phone" attribute="1" defaultMemberUniqueName="[Dim Customer].[Phone].[All]" allUniqueName="[Dim Customer].[Phone].[All]" dimensionUniqueName="[Dim Customer]" displayFolder="" count="0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2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5"/>
      </fieldsUsage>
    </cacheHierarchy>
    <cacheHierarchy uniqueName="[Dim Restaurant].[City]" caption="City" attribute="1" defaultMemberUniqueName="[Dim Restaurant].[City].[All]" allUniqueName="[Dim Restaurant].[City].[All]" dimensionUniqueName="[Dim Restaurant]" displayFolder="" count="2" unbalanced="0">
      <fieldsUsage count="2">
        <fieldUsage x="-1"/>
        <fieldUsage x="4"/>
      </fieldsUsage>
    </cacheHierarchy>
    <cacheHierarchy uniqueName="[Dim Restaurant].[Cuisine Type]" caption="Cuisine Type" attribute="1" defaultMemberUniqueName="[Dim Restaurant].[Cuisine Type].[All]" allUniqueName="[Dim Restaurant].[Cuisine Type].[All]" dimensionUniqueName="[Dim Restaurant]" displayFolder="" count="2" unbalanced="0"/>
    <cacheHierarchy uniqueName="[Dim Restaurant].[Name]" caption="Name" attribute="1" defaultMemberUniqueName="[Dim Restaurant].[Name].[All]" allUniqueName="[Dim Restaurant].[Name].[All]" dimensionUniqueName="[Dim Restaurant]" displayFolder="" count="2" unbalanced="0"/>
    <cacheHierarchy uniqueName="[Dim Restaurant].[Rating]" caption="Rating" attribute="1" defaultMemberUniqueName="[Dim Restaurant].[Rating].[All]" allUniqueName="[Dim Restaurant].[Rating].[All]" dimensionUniqueName="[Dim Restaurant]" displayFolder="" count="0" unbalanced="0"/>
    <cacheHierarchy uniqueName="[Dim Restaurant].[Restaurant Hierarchy]" caption="Restaurant Hierarchy" defaultMemberUniqueName="[Dim Restaurant].[Restaurant Hierarchy].[All]" allUniqueName="[Dim Restaurant].[Restaurant Hierarchy].[All]" dimensionUniqueName="[Dim Restaurant]" displayFolder="" count="0" unbalanced="0"/>
    <cacheHierarchy uniqueName="[Dim Restaurant].[Restaurant Id]" caption="Restaurant Id" attribute="1" defaultMemberUniqueName="[Dim Restaurant].[Restaurant Id].[All]" allUniqueName="[Dim Restaurant].[Restaurant Id].[All]" dimensionUniqueName="[Dim Restaurant]" displayFolder="" count="0" unbalanced="0"/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 hidden="1"/>
    <cacheHierarchy uniqueName="[Dim Date].[Month Name]" caption="Month Name" attribute="1" defaultMemberUniqueName="[Dim Date].[Month Name].[All]" allUniqueName="[Dim Date].[Month Name].[All]" dimensionUniqueName="[Dim Date]" displayFolder="" count="0" unbalanced="0" hidden="1"/>
    <cacheHierarchy uniqueName="[Measures].[Amount]" caption="Amount" measure="1" displayFolder="" measureGroup="Fact Order" count="0" oneField="1">
      <fieldsUsage count="1">
        <fieldUsage x="1"/>
      </fieldsUsage>
    </cacheHierarchy>
    <cacheHierarchy uniqueName="[Measures].[Delivery Fee]" caption="Delivery Fee" measure="1" displayFolder="" measureGroup="Fact Order" count="0" oneField="1">
      <fieldsUsage count="1">
        <fieldUsage x="2"/>
      </fieldsUsage>
    </cacheHierarchy>
    <cacheHierarchy uniqueName="[Measures].[Total Amount]" caption="Total Amount" measure="1" displayFolder="" measureGroup="Fact Order" count="0" oneField="1">
      <fieldsUsage count="1">
        <fieldUsage x="3"/>
      </fieldsUsage>
    </cacheHierarchy>
    <cacheHierarchy uniqueName="[Measures].[Txn Process Time Hours]" caption="Txn Process Time Hours" measure="1" displayFolder="" measureGroup="Fact Order" count="0"/>
    <cacheHierarchy uniqueName="[Measures].[Fact Order Count]" caption="Fact Order Count" measure="1" displayFolder="" measureGroup="Fact Order" count="0" oneField="1">
      <fieldsUsage count="1">
        <fieldUsage x="0"/>
      </fieldsUsage>
    </cacheHierarchy>
  </cacheHierarchies>
  <kpis count="0"/>
  <dimensions count="4">
    <dimension name="Dim Customer" uniqueName="[Dim Customer]" caption="Dim Customer"/>
    <dimension name="Dim Date" uniqueName="[Dim Date]" caption="Dim Date"/>
    <dimension name="Dim Restaurant" uniqueName="[Dim Restaurant]" caption="Dim Restaurant"/>
    <dimension measure="1" name="Measures" uniqueName="[Measures]" caption="Measures"/>
  </dimensions>
  <measureGroups count="1">
    <measureGroup name="Fact Order" caption="Fact Order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mhani Pabodha" refreshedDate="46115.463068171295" backgroundQuery="1" createdVersion="8" refreshedVersion="8" minRefreshableVersion="3" recordCount="0" supportSubquery="1" supportAdvancedDrill="1" xr:uid="{805623EA-5A97-4D8B-9838-82D327CEF70F}">
  <cacheSource type="external" connectionId="1"/>
  <cacheFields count="7">
    <cacheField name="[Dim Restaurant].[City].[City]" caption="City" numFmtId="0" hierarchy="21" level="1">
      <sharedItems count="8">
        <s v="[Dim Restaurant].[City].&amp;[Ahmedabad]" c="Ahmedabad"/>
        <s v="[Dim Restaurant].[City].&amp;[Bangalore]" c="Bangalore"/>
        <s v="[Dim Restaurant].[City].&amp;[Chennai]" c="Chennai"/>
        <s v="[Dim Restaurant].[City].&amp;[Delhi]" c="Delhi"/>
        <s v="[Dim Restaurant].[City].&amp;[Hyderabad]" c="Hyderabad"/>
        <s v="[Dim Restaurant].[City].&amp;[Kolkata]" c="Kolkata"/>
        <s v="[Dim Restaurant].[City].&amp;[Mumbai]" c="Mumbai"/>
        <s v="[Dim Restaurant].[City].&amp;[Pune]" c="Pune"/>
      </sharedItems>
    </cacheField>
    <cacheField name="[Dim Date].[Month Number].[Month Number]" caption="Month Number" numFmtId="0" hierarchy="18" level="1">
      <sharedItems containsSemiMixedTypes="0" containsString="0"/>
    </cacheField>
    <cacheField name="[Measures].[Fact Order Count]" caption="Fact Order Count" numFmtId="0" hierarchy="34" level="32767"/>
    <cacheField name="[Measures].[Amount]" caption="Amount" numFmtId="0" hierarchy="30" level="32767"/>
    <cacheField name="[Measures].[Delivery Fee]" caption="Delivery Fee" numFmtId="0" hierarchy="31" level="32767"/>
    <cacheField name="[Measures].[Total Amount]" caption="Total Amount" numFmtId="0" hierarchy="32" level="32767"/>
    <cacheField name="[Dim Date].[Year Number].[Year Number]" caption="Year Number" numFmtId="0" hierarchy="20" level="1">
      <sharedItems count="1">
        <s v="[Dim Date].[Year Number].&amp;[2025]" c="2025"/>
      </sharedItems>
    </cacheField>
  </cacheFields>
  <cacheHierarchies count="35">
    <cacheHierarchy uniqueName="[Dim Customer].[Address]" caption="Address" attribute="1" defaultMemberUniqueName="[Dim Customer].[Address].[All]" allUniqueName="[Dim Customer].[Address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Effective Date]" caption="Effective Date" attribute="1" defaultMemberUniqueName="[Dim Customer].[Effective Date].[All]" allUniqueName="[Dim Customer].[Effective Date].[All]" dimensionUniqueName="[Dim Customer]" displayFolder="" count="0" unbalanced="0"/>
    <cacheHierarchy uniqueName="[Dim Customer].[Email]" caption="Email" attribute="1" defaultMemberUniqueName="[Dim Customer].[Email].[All]" allUniqueName="[Dim Customer].[Email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2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Customer].[Phone]" caption="Phone" attribute="1" defaultMemberUniqueName="[Dim Customer].[Phone].[All]" allUniqueName="[Dim Customer].[Phone].[All]" dimensionUniqueName="[Dim Customer]" displayFolder="" count="0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2" unbalanced="0">
      <fieldsUsage count="2">
        <fieldUsage x="-1"/>
        <fieldUsage x="1"/>
      </fieldsUsage>
    </cacheHierarchy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6"/>
      </fieldsUsage>
    </cacheHierarchy>
    <cacheHierarchy uniqueName="[Dim Restaurant].[City]" caption="City" attribute="1" defaultMemberUniqueName="[Dim Restaurant].[City].[All]" allUniqueName="[Dim Restaurant].[City].[All]" dimensionUniqueName="[Dim Restaurant]" displayFolder="" count="2" unbalanced="0">
      <fieldsUsage count="2">
        <fieldUsage x="-1"/>
        <fieldUsage x="0"/>
      </fieldsUsage>
    </cacheHierarchy>
    <cacheHierarchy uniqueName="[Dim Restaurant].[Cuisine Type]" caption="Cuisine Type" attribute="1" defaultMemberUniqueName="[Dim Restaurant].[Cuisine Type].[All]" allUniqueName="[Dim Restaurant].[Cuisine Type].[All]" dimensionUniqueName="[Dim Restaurant]" displayFolder="" count="2" unbalanced="0"/>
    <cacheHierarchy uniqueName="[Dim Restaurant].[Name]" caption="Name" attribute="1" defaultMemberUniqueName="[Dim Restaurant].[Name].[All]" allUniqueName="[Dim Restaurant].[Name].[All]" dimensionUniqueName="[Dim Restaurant]" displayFolder="" count="2" unbalanced="0"/>
    <cacheHierarchy uniqueName="[Dim Restaurant].[Rating]" caption="Rating" attribute="1" defaultMemberUniqueName="[Dim Restaurant].[Rating].[All]" allUniqueName="[Dim Restaurant].[Rating].[All]" dimensionUniqueName="[Dim Restaurant]" displayFolder="" count="0" unbalanced="0"/>
    <cacheHierarchy uniqueName="[Dim Restaurant].[Restaurant Hierarchy]" caption="Restaurant Hierarchy" defaultMemberUniqueName="[Dim Restaurant].[Restaurant Hierarchy].[All]" allUniqueName="[Dim Restaurant].[Restaurant Hierarchy].[All]" dimensionUniqueName="[Dim Restaurant]" displayFolder="" count="0" unbalanced="0"/>
    <cacheHierarchy uniqueName="[Dim Restaurant].[Restaurant Id]" caption="Restaurant Id" attribute="1" defaultMemberUniqueName="[Dim Restaurant].[Restaurant Id].[All]" allUniqueName="[Dim Restaurant].[Restaurant Id].[All]" dimensionUniqueName="[Dim Restaurant]" displayFolder="" count="0" unbalanced="0"/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 hidden="1"/>
    <cacheHierarchy uniqueName="[Dim Date].[Month Name]" caption="Month Name" attribute="1" defaultMemberUniqueName="[Dim Date].[Month Name].[All]" allUniqueName="[Dim Date].[Month Name].[All]" dimensionUniqueName="[Dim Date]" displayFolder="" count="0" unbalanced="0" hidden="1"/>
    <cacheHierarchy uniqueName="[Measures].[Amount]" caption="Amount" measure="1" displayFolder="" measureGroup="Fact Order" count="0" oneField="1">
      <fieldsUsage count="1">
        <fieldUsage x="3"/>
      </fieldsUsage>
    </cacheHierarchy>
    <cacheHierarchy uniqueName="[Measures].[Delivery Fee]" caption="Delivery Fee" measure="1" displayFolder="" measureGroup="Fact Order" count="0" oneField="1">
      <fieldsUsage count="1">
        <fieldUsage x="4"/>
      </fieldsUsage>
    </cacheHierarchy>
    <cacheHierarchy uniqueName="[Measures].[Total Amount]" caption="Total Amount" measure="1" displayFolder="" measureGroup="Fact Order" count="0" oneField="1">
      <fieldsUsage count="1">
        <fieldUsage x="5"/>
      </fieldsUsage>
    </cacheHierarchy>
    <cacheHierarchy uniqueName="[Measures].[Txn Process Time Hours]" caption="Txn Process Time Hours" measure="1" displayFolder="" measureGroup="Fact Order" count="0"/>
    <cacheHierarchy uniqueName="[Measures].[Fact Order Count]" caption="Fact Order Count" measure="1" displayFolder="" measureGroup="Fact Order" count="0" oneField="1">
      <fieldsUsage count="1">
        <fieldUsage x="2"/>
      </fieldsUsage>
    </cacheHierarchy>
  </cacheHierarchies>
  <kpis count="0"/>
  <dimensions count="4">
    <dimension name="Dim Customer" uniqueName="[Dim Customer]" caption="Dim Customer"/>
    <dimension name="Dim Date" uniqueName="[Dim Date]" caption="Dim Date"/>
    <dimension name="Dim Restaurant" uniqueName="[Dim Restaurant]" caption="Dim Restaurant"/>
    <dimension measure="1" name="Measures" uniqueName="[Measures]" caption="Measures"/>
  </dimensions>
  <measureGroups count="1">
    <measureGroup name="Fact Order" caption="Fact Order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mhani Pabodha" refreshedDate="46140.198311342596" backgroundQuery="1" createdVersion="8" refreshedVersion="8" minRefreshableVersion="3" recordCount="0" supportSubquery="1" supportAdvancedDrill="1" xr:uid="{F2542551-E595-4FC9-9E0A-3A6647D67B21}">
  <cacheSource type="external" connectionId="1"/>
  <cacheFields count="8">
    <cacheField name="[Measures].[Fact Order Count]" caption="Fact Order Count" numFmtId="0" hierarchy="34" level="32767"/>
    <cacheField name="[Measures].[Amount]" caption="Amount" numFmtId="0" hierarchy="30" level="32767"/>
    <cacheField name="[Measures].[Delivery Fee]" caption="Delivery Fee" numFmtId="0" hierarchy="31" level="32767"/>
    <cacheField name="[Measures].[Total Amount]" caption="Total Amount" numFmtId="0" hierarchy="32" level="32767"/>
    <cacheField name="[Dim Restaurant].[City].[City]" caption="City" numFmtId="0" hierarchy="21" level="1">
      <sharedItems count="8">
        <s v="[Dim Restaurant].[City].&amp;[Ahmedabad]" c="Ahmedabad"/>
        <s v="[Dim Restaurant].[City].&amp;[Bangalore]" c="Bangalore"/>
        <s v="[Dim Restaurant].[City].&amp;[Chennai]" c="Chennai"/>
        <s v="[Dim Restaurant].[City].&amp;[Delhi]" c="Delhi"/>
        <s v="[Dim Restaurant].[City].&amp;[Hyderabad]" c="Hyderabad"/>
        <s v="[Dim Restaurant].[City].&amp;[Kolkata]" c="Kolkata"/>
        <s v="[Dim Restaurant].[City].&amp;[Mumbai]" c="Mumbai"/>
        <s v="[Dim Restaurant].[City].&amp;[Pune]" c="Pune"/>
      </sharedItems>
    </cacheField>
    <cacheField name="[Dim Date].[Year Number].[Year Number]" caption="Year Number" numFmtId="0" hierarchy="20" level="1">
      <sharedItems count="1">
        <s v="[Dim Date].[Year Number].&amp;[2025]" c="2025"/>
      </sharedItems>
    </cacheField>
    <cacheField name="[Dim Date].[Month Number].[Month Number]" caption="Month Number" numFmtId="0" hierarchy="18" level="1">
      <sharedItems containsSemiMixedTypes="0" containsString="0"/>
    </cacheField>
    <cacheField name="[Dim Restaurant].[Cuisine Type].[Cuisine Type]" caption="Cuisine Type" numFmtId="0" hierarchy="22" level="1">
      <sharedItems containsSemiMixedTypes="0" containsString="0"/>
    </cacheField>
  </cacheFields>
  <cacheHierarchies count="35">
    <cacheHierarchy uniqueName="[Dim Customer].[Address]" caption="Address" attribute="1" defaultMemberUniqueName="[Dim Customer].[Address].[All]" allUniqueName="[Dim Customer].[Address].[All]" dimensionUniqueName="[Dim Customer]" displayFolder="" count="0" unbalanced="0"/>
    <cacheHierarchy uniqueName="[Dim Customer].[Customer Hierarchy]" caption="Customer Hierarchy" defaultMemberUniqueName="[Dim Customer].[Customer Hierarchy].[All]" allUniqueName="[Dim Customer].[Customer Hierarch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Effective Date]" caption="Effective Date" attribute="1" defaultMemberUniqueName="[Dim Customer].[Effective Date].[All]" allUniqueName="[Dim Customer].[Effective Date].[All]" dimensionUniqueName="[Dim Customer]" displayFolder="" count="0" unbalanced="0"/>
    <cacheHierarchy uniqueName="[Dim Customer].[Email]" caption="Email" attribute="1" defaultMemberUniqueName="[Dim Customer].[Email].[All]" allUniqueName="[Dim Customer].[Email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2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Customer].[Phone]" caption="Phone" attribute="1" defaultMemberUniqueName="[Dim Customer].[Phone].[All]" allUniqueName="[Dim Customer].[Phone].[All]" dimensionUniqueName="[Dim Customer]" displayFolder="" count="0" unbalanced="0"/>
    <cacheHierarchy uniqueName="[Dim Customer].[Registration Date]" caption="Registration Date" attribute="1" defaultMemberUniqueName="[Dim Customer].[Registration Date].[All]" allUniqueName="[Dim Customer].[Registration D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2" unbalanced="0">
      <fieldsUsage count="2">
        <fieldUsage x="-1"/>
        <fieldUsage x="6"/>
      </fieldsUsage>
    </cacheHierarchy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5"/>
      </fieldsUsage>
    </cacheHierarchy>
    <cacheHierarchy uniqueName="[Dim Restaurant].[City]" caption="City" attribute="1" defaultMemberUniqueName="[Dim Restaurant].[City].[All]" allUniqueName="[Dim Restaurant].[City].[All]" dimensionUniqueName="[Dim Restaurant]" displayFolder="" count="2" unbalanced="0">
      <fieldsUsage count="2">
        <fieldUsage x="-1"/>
        <fieldUsage x="4"/>
      </fieldsUsage>
    </cacheHierarchy>
    <cacheHierarchy uniqueName="[Dim Restaurant].[Cuisine Type]" caption="Cuisine Type" attribute="1" defaultMemberUniqueName="[Dim Restaurant].[Cuisine Type].[All]" allUniqueName="[Dim Restaurant].[Cuisine Type].[All]" dimensionUniqueName="[Dim Restaurant]" displayFolder="" count="2" unbalanced="0">
      <fieldsUsage count="2">
        <fieldUsage x="-1"/>
        <fieldUsage x="7"/>
      </fieldsUsage>
    </cacheHierarchy>
    <cacheHierarchy uniqueName="[Dim Restaurant].[Name]" caption="Name" attribute="1" defaultMemberUniqueName="[Dim Restaurant].[Name].[All]" allUniqueName="[Dim Restaurant].[Name].[All]" dimensionUniqueName="[Dim Restaurant]" displayFolder="" count="2" unbalanced="0"/>
    <cacheHierarchy uniqueName="[Dim Restaurant].[Rating]" caption="Rating" attribute="1" defaultMemberUniqueName="[Dim Restaurant].[Rating].[All]" allUniqueName="[Dim Restaurant].[Rating].[All]" dimensionUniqueName="[Dim Restaurant]" displayFolder="" count="0" unbalanced="0"/>
    <cacheHierarchy uniqueName="[Dim Restaurant].[Restaurant Hierarchy]" caption="Restaurant Hierarchy" defaultMemberUniqueName="[Dim Restaurant].[Restaurant Hierarchy].[All]" allUniqueName="[Dim Restaurant].[Restaurant Hierarchy].[All]" dimensionUniqueName="[Dim Restaurant]" displayFolder="" count="0" unbalanced="0"/>
    <cacheHierarchy uniqueName="[Dim Restaurant].[Restaurant Id]" caption="Restaurant Id" attribute="1" defaultMemberUniqueName="[Dim Restaurant].[Restaurant Id].[All]" allUniqueName="[Dim Restaurant].[Restaurant Id].[All]" dimensionUniqueName="[Dim Restaurant]" displayFolder="" count="0" unbalanced="0"/>
    <cacheHierarchy uniqueName="[Dim Restaurant].[Restaurant Key]" caption="Restaurant Key" attribute="1" keyAttribute="1" defaultMemberUniqueName="[Dim Restaurant].[Restaurant Key].[All]" allUniqueName="[Dim Restaurant].[Restaurant Key].[All]" dimensionUniqueName="[Dim Restaurant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 hidden="1"/>
    <cacheHierarchy uniqueName="[Dim Date].[Month Name]" caption="Month Name" attribute="1" defaultMemberUniqueName="[Dim Date].[Month Name].[All]" allUniqueName="[Dim Date].[Month Name].[All]" dimensionUniqueName="[Dim Date]" displayFolder="" count="0" unbalanced="0" hidden="1"/>
    <cacheHierarchy uniqueName="[Measures].[Amount]" caption="Amount" measure="1" displayFolder="" measureGroup="Fact Order" count="0" oneField="1">
      <fieldsUsage count="1">
        <fieldUsage x="1"/>
      </fieldsUsage>
    </cacheHierarchy>
    <cacheHierarchy uniqueName="[Measures].[Delivery Fee]" caption="Delivery Fee" measure="1" displayFolder="" measureGroup="Fact Order" count="0" oneField="1">
      <fieldsUsage count="1">
        <fieldUsage x="2"/>
      </fieldsUsage>
    </cacheHierarchy>
    <cacheHierarchy uniqueName="[Measures].[Total Amount]" caption="Total Amount" measure="1" displayFolder="" measureGroup="Fact Order" count="0" oneField="1">
      <fieldsUsage count="1">
        <fieldUsage x="3"/>
      </fieldsUsage>
    </cacheHierarchy>
    <cacheHierarchy uniqueName="[Measures].[Txn Process Time Hours]" caption="Txn Process Time Hours" measure="1" displayFolder="" measureGroup="Fact Order" count="0"/>
    <cacheHierarchy uniqueName="[Measures].[Fact Order Count]" caption="Fact Order Count" measure="1" displayFolder="" measureGroup="Fact Order" count="0" oneField="1">
      <fieldsUsage count="1">
        <fieldUsage x="0"/>
      </fieldsUsage>
    </cacheHierarchy>
  </cacheHierarchies>
  <kpis count="0"/>
  <dimensions count="4">
    <dimension name="Dim Customer" uniqueName="[Dim Customer]" caption="Dim Customer"/>
    <dimension name="Dim Date" uniqueName="[Dim Date]" caption="Dim Date"/>
    <dimension name="Dim Restaurant" uniqueName="[Dim Restaurant]" caption="Dim Restaurant"/>
    <dimension measure="1" name="Measures" uniqueName="[Measures]" caption="Measures"/>
  </dimensions>
  <measureGroups count="1">
    <measureGroup name="Fact Order" caption="Fact Order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D1334-D2B0-45A4-8842-C73B9EBB5939}" name="PivotTable2" cacheId="10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fieldListSortAscending="1">
  <location ref="A5:D8" firstHeaderRow="1" firstDataRow="3" firstDataCol="0" rowPageCount="3" colPageCount="1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>
      <items count="8">
        <item x="0"/>
        <item s="1"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Items count="1">
    <i/>
  </rowItems>
  <colFields count="2">
    <field x="-2"/>
    <field x="5"/>
  </colFields>
  <colItems count="4">
    <i>
      <x/>
      <x/>
    </i>
    <i i="1">
      <x v="1"/>
      <x/>
    </i>
    <i i="2">
      <x v="2"/>
      <x/>
    </i>
    <i i="3">
      <x v="3"/>
      <x/>
    </i>
  </colItems>
  <pageFields count="3">
    <pageField fld="6" hier="18" name="[Dim Date].[Month Number].&amp;[2]" cap="2"/>
    <pageField fld="4" hier="21" name="[Dim Restaurant].[City].&amp;[Bangalore]" cap="Bangalore"/>
    <pageField fld="7" hier="22" name="[Dim Restaurant].[Cuisine Type].&amp;[North Indian]" cap="North Indian"/>
  </pageFields>
  <dataFields count="4">
    <dataField fld="0" baseField="0" baseItem="0"/>
    <dataField fld="1" baseField="0" baseItem="0"/>
    <dataField fld="2" baseField="0" baseItem="0"/>
    <dataField fld="3" baseField="0" baseItem="0"/>
  </dataFields>
  <pivotHierarchies count="3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2">
    <colHierarchyUsage hierarchyUsage="-2"/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5150E-C856-4407-A2A7-239284DC3176}" name="PivotTable2" cacheId="2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fieldListSortAscending="1">
  <location ref="A5:E16" firstHeaderRow="1" firstDataRow="3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axis="axisCol" allDrilled="1" subtotalTop="0" showAll="0" dataSourceSort="1" defaultSubtotal="0" defaultAttributeDrillState="1">
      <items count="1">
        <item x="0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-2"/>
    <field x="5"/>
  </colFields>
  <colItems count="4">
    <i>
      <x/>
      <x/>
    </i>
    <i i="1">
      <x v="1"/>
      <x/>
    </i>
    <i i="2">
      <x v="2"/>
      <x/>
    </i>
    <i i="3">
      <x v="3"/>
      <x/>
    </i>
  </colItems>
  <dataFields count="4">
    <dataField fld="0" baseField="0" baseItem="0"/>
    <dataField fld="1" baseField="0" baseItem="0"/>
    <dataField fld="2" baseField="0" baseItem="0"/>
    <dataField fld="3" baseField="0" baseItem="0"/>
  </dataFields>
  <pivotHierarchies count="3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2">
    <colHierarchyUsage hierarchyUsage="-2"/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8CCA2-32EC-4C2E-899F-7F565F5D09E5}" name="PivotTable2" cacheId="3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fieldListSortAscending="1">
  <location ref="A5:E7" firstHeaderRow="0" firstDataRow="1" firstDataCol="1" rowPageCount="1" colPageCount="1"/>
  <pivotFields count="7">
    <pivotField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6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18" name="[Dim Date].[Month Number].&amp;[1]" cap="1"/>
  </pageFields>
  <dataFields count="4">
    <dataField fld="2" baseField="0" baseItem="0"/>
    <dataField fld="3" baseField="0" baseItem="0"/>
    <dataField fld="4" baseField="0" baseItem="0"/>
    <dataField fld="5" baseField="0" baseItem="0"/>
  </dataFields>
  <pivotHierarchies count="3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271B0-B3DF-4B88-B495-5CD3728C8084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fieldListSortAscending="1">
  <location ref="A5:D144" firstHeaderRow="1" firstDataRow="3" firstDataCol="1"/>
  <pivotFields count="7"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axis="axisCol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3">
    <field x="0"/>
    <field x="2"/>
    <field x="3"/>
  </rowFields>
  <rowItems count="137">
    <i>
      <x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1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2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3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4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5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6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7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 t="grand">
      <x/>
    </i>
  </rowItems>
  <colFields count="2">
    <field x="1"/>
    <field x="-2"/>
  </colFields>
  <colItems count="3">
    <i>
      <x/>
      <x/>
    </i>
    <i r="1" i="1">
      <x v="1"/>
    </i>
    <i r="1" i="2">
      <x v="2"/>
    </i>
  </colItems>
  <dataFields count="3">
    <dataField fld="4" baseField="0" baseItem="0"/>
    <dataField fld="5" baseField="0" baseItem="0"/>
    <dataField fld="6" baseField="0" baseItem="0"/>
  </dataFields>
  <pivotHierarchies count="3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1"/>
    <rowHierarchyUsage hierarchyUsage="19"/>
    <rowHierarchyUsage hierarchyUsage="18"/>
  </rowHierarchiesUsage>
  <colHierarchiesUsage count="2">
    <colHierarchyUsage hierarchyUsage="2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4A006-ABB3-44BF-9722-B274CE6BE2FE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fieldListSortAscending="1">
  <location ref="A5:E7" firstHeaderRow="0" firstDataRow="1" firstDataCol="1"/>
  <pivotFields count="6">
    <pivotField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baseField="0" baseItem="0"/>
    <dataField fld="3" baseField="0" baseItem="0"/>
    <dataField fld="4" baseField="0" baseItem="0"/>
    <dataField fld="5" baseField="0" baseItem="0"/>
  </dataFields>
  <pivotHierarchies count="3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AA23-A718-4DA8-A608-8C5A725D6184}">
  <dimension ref="A1:D8"/>
  <sheetViews>
    <sheetView zoomScale="115" zoomScaleNormal="115" workbookViewId="0">
      <selection activeCell="E11" sqref="E11"/>
    </sheetView>
  </sheetViews>
  <sheetFormatPr defaultRowHeight="14.4" x14ac:dyDescent="0.3"/>
  <cols>
    <col min="1" max="1" width="15.5546875" bestFit="1" customWidth="1"/>
    <col min="2" max="2" width="13" bestFit="1" customWidth="1"/>
    <col min="3" max="3" width="11.21875" bestFit="1" customWidth="1"/>
    <col min="4" max="4" width="12.109375" bestFit="1" customWidth="1"/>
    <col min="5" max="5" width="12.5546875" bestFit="1" customWidth="1"/>
    <col min="6" max="6" width="19.88671875" bestFit="1" customWidth="1"/>
    <col min="7" max="7" width="12.5546875" bestFit="1" customWidth="1"/>
    <col min="8" max="8" width="15.88671875" bestFit="1" customWidth="1"/>
    <col min="9" max="9" width="16.77734375" bestFit="1" customWidth="1"/>
  </cols>
  <sheetData>
    <row r="1" spans="1:4" x14ac:dyDescent="0.3">
      <c r="A1" s="1" t="s">
        <v>28</v>
      </c>
      <c r="B1" t="s" vm="3">
        <v>20</v>
      </c>
    </row>
    <row r="2" spans="1:4" x14ac:dyDescent="0.3">
      <c r="A2" s="1" t="s">
        <v>29</v>
      </c>
      <c r="B2" t="s" vm="4">
        <v>8</v>
      </c>
    </row>
    <row r="3" spans="1:4" x14ac:dyDescent="0.3">
      <c r="A3" s="1" t="s">
        <v>30</v>
      </c>
      <c r="B3" t="s" vm="2">
        <v>31</v>
      </c>
    </row>
    <row r="5" spans="1:4" x14ac:dyDescent="0.3">
      <c r="A5" s="1" t="s">
        <v>15</v>
      </c>
    </row>
    <row r="6" spans="1:4" x14ac:dyDescent="0.3">
      <c r="A6" t="s">
        <v>2</v>
      </c>
      <c r="B6" t="s">
        <v>0</v>
      </c>
      <c r="C6" t="s">
        <v>1</v>
      </c>
      <c r="D6" t="s">
        <v>3</v>
      </c>
    </row>
    <row r="7" spans="1:4" x14ac:dyDescent="0.3">
      <c r="A7" t="s">
        <v>5</v>
      </c>
      <c r="B7" t="s">
        <v>5</v>
      </c>
      <c r="C7" t="s">
        <v>5</v>
      </c>
      <c r="D7" t="s">
        <v>5</v>
      </c>
    </row>
    <row r="8" spans="1:4" x14ac:dyDescent="0.3">
      <c r="A8" s="5">
        <v>180</v>
      </c>
      <c r="B8" s="5">
        <v>492443.27999999997</v>
      </c>
      <c r="C8" s="5">
        <v>53395.8</v>
      </c>
      <c r="D8" s="5">
        <v>545839.08000000007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BD56-1D42-4276-AA85-75ED7FFCCA20}">
  <dimension ref="A5:E16"/>
  <sheetViews>
    <sheetView tabSelected="1" zoomScale="115" zoomScaleNormal="115" workbookViewId="0">
      <selection activeCell="C6" sqref="C6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5" width="12.5546875" bestFit="1" customWidth="1"/>
    <col min="6" max="6" width="19.88671875" bestFit="1" customWidth="1"/>
    <col min="7" max="7" width="12.5546875" bestFit="1" customWidth="1"/>
    <col min="8" max="8" width="15.88671875" bestFit="1" customWidth="1"/>
    <col min="9" max="9" width="16.77734375" bestFit="1" customWidth="1"/>
  </cols>
  <sheetData>
    <row r="5" spans="1:5" x14ac:dyDescent="0.3">
      <c r="B5" t="s">
        <v>15</v>
      </c>
    </row>
    <row r="6" spans="1:5" x14ac:dyDescent="0.3">
      <c r="B6" t="s">
        <v>2</v>
      </c>
      <c r="C6" t="s">
        <v>0</v>
      </c>
      <c r="D6" t="s">
        <v>1</v>
      </c>
      <c r="E6" t="s">
        <v>3</v>
      </c>
    </row>
    <row r="7" spans="1:5" x14ac:dyDescent="0.3">
      <c r="A7" t="s">
        <v>4</v>
      </c>
      <c r="B7" t="s">
        <v>5</v>
      </c>
      <c r="C7" t="s">
        <v>5</v>
      </c>
      <c r="D7" t="s">
        <v>5</v>
      </c>
      <c r="E7" t="s">
        <v>5</v>
      </c>
    </row>
    <row r="8" spans="1:5" x14ac:dyDescent="0.3">
      <c r="A8" s="2" t="s">
        <v>7</v>
      </c>
      <c r="B8">
        <v>11772</v>
      </c>
      <c r="C8">
        <v>32593285.98</v>
      </c>
      <c r="D8">
        <v>3478745.4</v>
      </c>
      <c r="E8">
        <v>36072031.379999995</v>
      </c>
    </row>
    <row r="9" spans="1:5" x14ac:dyDescent="0.3">
      <c r="A9" s="2" t="s">
        <v>8</v>
      </c>
      <c r="B9">
        <v>4902</v>
      </c>
      <c r="C9">
        <v>13677213.779999999</v>
      </c>
      <c r="D9">
        <v>1477527.4800000002</v>
      </c>
      <c r="E9">
        <v>15154741.26</v>
      </c>
    </row>
    <row r="10" spans="1:5" x14ac:dyDescent="0.3">
      <c r="A10" s="2" t="s">
        <v>9</v>
      </c>
      <c r="B10">
        <v>4314</v>
      </c>
      <c r="C10">
        <v>12161948.16</v>
      </c>
      <c r="D10">
        <v>1311677.1600000001</v>
      </c>
      <c r="E10">
        <v>13473625.32</v>
      </c>
    </row>
    <row r="11" spans="1:5" x14ac:dyDescent="0.3">
      <c r="A11" s="2" t="s">
        <v>10</v>
      </c>
      <c r="B11">
        <v>9624</v>
      </c>
      <c r="C11">
        <v>26030137.800000001</v>
      </c>
      <c r="D11">
        <v>2873395.38</v>
      </c>
      <c r="E11">
        <v>28903533.179999996</v>
      </c>
    </row>
    <row r="12" spans="1:5" x14ac:dyDescent="0.3">
      <c r="A12" s="2" t="s">
        <v>11</v>
      </c>
      <c r="B12">
        <v>7350</v>
      </c>
      <c r="C12">
        <v>20102758.140000001</v>
      </c>
      <c r="D12">
        <v>2189131.2000000002</v>
      </c>
      <c r="E12">
        <v>22291889.34</v>
      </c>
    </row>
    <row r="13" spans="1:5" x14ac:dyDescent="0.3">
      <c r="A13" s="2" t="s">
        <v>12</v>
      </c>
      <c r="B13">
        <v>6126</v>
      </c>
      <c r="C13">
        <v>17132146.320000004</v>
      </c>
      <c r="D13">
        <v>1831352.88</v>
      </c>
      <c r="E13">
        <v>18963499.200000003</v>
      </c>
    </row>
    <row r="14" spans="1:5" x14ac:dyDescent="0.3">
      <c r="A14" s="2" t="s">
        <v>13</v>
      </c>
      <c r="B14">
        <v>7416</v>
      </c>
      <c r="C14">
        <v>20306312.519999996</v>
      </c>
      <c r="D14">
        <v>2198736.7799999998</v>
      </c>
      <c r="E14">
        <v>22505049.300000001</v>
      </c>
    </row>
    <row r="15" spans="1:5" x14ac:dyDescent="0.3">
      <c r="A15" s="2" t="s">
        <v>14</v>
      </c>
      <c r="B15">
        <v>8496</v>
      </c>
      <c r="C15">
        <v>22360955.339999996</v>
      </c>
      <c r="D15">
        <v>2556615.4799999995</v>
      </c>
      <c r="E15">
        <v>24917570.82</v>
      </c>
    </row>
    <row r="16" spans="1:5" x14ac:dyDescent="0.3">
      <c r="A16" s="2" t="s">
        <v>6</v>
      </c>
      <c r="B16">
        <v>60000</v>
      </c>
      <c r="C16">
        <v>164364758.03999999</v>
      </c>
      <c r="D16">
        <v>17917181.759999994</v>
      </c>
      <c r="E16">
        <v>182281939.80000001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CCCD-D124-41C0-BEC5-598C21149D94}">
  <dimension ref="A3:E7"/>
  <sheetViews>
    <sheetView zoomScale="115" zoomScaleNormal="115" workbookViewId="0">
      <selection activeCell="A5" sqref="A5"/>
    </sheetView>
  </sheetViews>
  <sheetFormatPr defaultRowHeight="14.4" x14ac:dyDescent="0.3"/>
  <cols>
    <col min="1" max="1" width="13.109375" bestFit="1" customWidth="1"/>
    <col min="2" max="2" width="15.33203125" bestFit="1" customWidth="1"/>
    <col min="3" max="4" width="11.5546875" bestFit="1" customWidth="1"/>
    <col min="5" max="5" width="12.5546875" bestFit="1" customWidth="1"/>
    <col min="6" max="6" width="19.88671875" bestFit="1" customWidth="1"/>
    <col min="7" max="7" width="12.5546875" bestFit="1" customWidth="1"/>
    <col min="8" max="8" width="15.88671875" bestFit="1" customWidth="1"/>
    <col min="9" max="9" width="16.77734375" bestFit="1" customWidth="1"/>
  </cols>
  <sheetData>
    <row r="3" spans="1:5" x14ac:dyDescent="0.3">
      <c r="A3" s="1" t="s">
        <v>28</v>
      </c>
      <c r="B3" t="s" vm="1">
        <v>16</v>
      </c>
    </row>
    <row r="5" spans="1:5" x14ac:dyDescent="0.3">
      <c r="A5" s="1" t="s">
        <v>4</v>
      </c>
      <c r="B5" t="s">
        <v>2</v>
      </c>
      <c r="C5" t="s">
        <v>0</v>
      </c>
      <c r="D5" t="s">
        <v>1</v>
      </c>
      <c r="E5" t="s">
        <v>3</v>
      </c>
    </row>
    <row r="6" spans="1:5" x14ac:dyDescent="0.3">
      <c r="A6" s="2" t="s">
        <v>5</v>
      </c>
      <c r="B6">
        <v>6560</v>
      </c>
      <c r="C6">
        <v>17998396.399999999</v>
      </c>
      <c r="D6">
        <v>1992212.7199999995</v>
      </c>
      <c r="E6">
        <v>19990609.120000001</v>
      </c>
    </row>
    <row r="7" spans="1:5" x14ac:dyDescent="0.3">
      <c r="A7" s="2" t="s">
        <v>6</v>
      </c>
      <c r="B7">
        <v>6560</v>
      </c>
      <c r="C7">
        <v>17998396.399999999</v>
      </c>
      <c r="D7">
        <v>1992212.7199999995</v>
      </c>
      <c r="E7">
        <v>19990609.120000001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A698-BFA5-47DC-B23F-0D34B153DED0}">
  <dimension ref="A5:D144"/>
  <sheetViews>
    <sheetView topLeftCell="A4" zoomScale="115" zoomScaleNormal="115" workbookViewId="0">
      <selection activeCell="E7" sqref="E7"/>
    </sheetView>
  </sheetViews>
  <sheetFormatPr defaultRowHeight="14.4" x14ac:dyDescent="0.3"/>
  <cols>
    <col min="1" max="1" width="12.77734375" bestFit="1" customWidth="1"/>
    <col min="2" max="2" width="15.5546875" bestFit="1" customWidth="1"/>
    <col min="3" max="5" width="12.5546875" bestFit="1" customWidth="1"/>
    <col min="6" max="6" width="19.88671875" bestFit="1" customWidth="1"/>
    <col min="7" max="7" width="12.5546875" bestFit="1" customWidth="1"/>
    <col min="8" max="8" width="15.88671875" bestFit="1" customWidth="1"/>
    <col min="9" max="9" width="16.77734375" bestFit="1" customWidth="1"/>
  </cols>
  <sheetData>
    <row r="5" spans="1:4" x14ac:dyDescent="0.3">
      <c r="B5" s="1" t="s">
        <v>15</v>
      </c>
    </row>
    <row r="6" spans="1:4" x14ac:dyDescent="0.3">
      <c r="B6" t="s">
        <v>5</v>
      </c>
    </row>
    <row r="7" spans="1:4" x14ac:dyDescent="0.3">
      <c r="A7" s="1" t="s">
        <v>4</v>
      </c>
      <c r="B7" t="s">
        <v>2</v>
      </c>
      <c r="C7" t="s">
        <v>3</v>
      </c>
      <c r="D7" t="s">
        <v>1</v>
      </c>
    </row>
    <row r="8" spans="1:4" x14ac:dyDescent="0.3">
      <c r="A8" s="2" t="s">
        <v>7</v>
      </c>
    </row>
    <row r="9" spans="1:4" x14ac:dyDescent="0.3">
      <c r="A9" s="3" t="s">
        <v>16</v>
      </c>
    </row>
    <row r="10" spans="1:4" x14ac:dyDescent="0.3">
      <c r="A10" s="4" t="s">
        <v>16</v>
      </c>
      <c r="B10">
        <v>1008</v>
      </c>
      <c r="C10">
        <v>3004186.4999999981</v>
      </c>
      <c r="D10">
        <v>306505.61999999994</v>
      </c>
    </row>
    <row r="11" spans="1:4" x14ac:dyDescent="0.3">
      <c r="A11" s="4" t="s">
        <v>20</v>
      </c>
      <c r="B11">
        <v>942</v>
      </c>
      <c r="C11">
        <v>3003065.5200000005</v>
      </c>
      <c r="D11">
        <v>273634.02</v>
      </c>
    </row>
    <row r="12" spans="1:4" x14ac:dyDescent="0.3">
      <c r="A12" s="4" t="s">
        <v>21</v>
      </c>
      <c r="B12">
        <v>984</v>
      </c>
      <c r="C12">
        <v>2922346.0200000009</v>
      </c>
      <c r="D12">
        <v>289557.9600000002</v>
      </c>
    </row>
    <row r="13" spans="1:4" x14ac:dyDescent="0.3">
      <c r="A13" s="3" t="s">
        <v>20</v>
      </c>
    </row>
    <row r="14" spans="1:4" x14ac:dyDescent="0.3">
      <c r="A14" s="4" t="s">
        <v>22</v>
      </c>
      <c r="B14">
        <v>876</v>
      </c>
      <c r="C14">
        <v>2774758.1999999988</v>
      </c>
      <c r="D14">
        <v>257295.65999999989</v>
      </c>
    </row>
    <row r="15" spans="1:4" x14ac:dyDescent="0.3">
      <c r="A15" s="4" t="s">
        <v>23</v>
      </c>
      <c r="B15">
        <v>1044</v>
      </c>
      <c r="C15">
        <v>3244784.94</v>
      </c>
      <c r="D15">
        <v>310272.24000000005</v>
      </c>
    </row>
    <row r="16" spans="1:4" x14ac:dyDescent="0.3">
      <c r="A16" s="4" t="s">
        <v>24</v>
      </c>
      <c r="B16">
        <v>864</v>
      </c>
      <c r="C16">
        <v>2580646.6199999982</v>
      </c>
      <c r="D16">
        <v>266515.37999999995</v>
      </c>
    </row>
    <row r="17" spans="1:4" x14ac:dyDescent="0.3">
      <c r="A17" s="3" t="s">
        <v>21</v>
      </c>
    </row>
    <row r="18" spans="1:4" x14ac:dyDescent="0.3">
      <c r="A18" s="4" t="s">
        <v>25</v>
      </c>
      <c r="B18">
        <v>966</v>
      </c>
      <c r="C18">
        <v>3046401.9000000004</v>
      </c>
      <c r="D18">
        <v>288219</v>
      </c>
    </row>
    <row r="19" spans="1:4" x14ac:dyDescent="0.3">
      <c r="A19" s="4" t="s">
        <v>26</v>
      </c>
      <c r="B19">
        <v>1116</v>
      </c>
      <c r="C19">
        <v>3203430.3000000012</v>
      </c>
      <c r="D19">
        <v>331060.25999999978</v>
      </c>
    </row>
    <row r="20" spans="1:4" x14ac:dyDescent="0.3">
      <c r="A20" s="4" t="s">
        <v>27</v>
      </c>
      <c r="B20">
        <v>996</v>
      </c>
      <c r="C20">
        <v>3067445.5800000019</v>
      </c>
      <c r="D20">
        <v>303587.34000000003</v>
      </c>
    </row>
    <row r="21" spans="1:4" x14ac:dyDescent="0.3">
      <c r="A21" s="3" t="s">
        <v>22</v>
      </c>
    </row>
    <row r="22" spans="1:4" x14ac:dyDescent="0.3">
      <c r="A22" s="4" t="s">
        <v>17</v>
      </c>
      <c r="B22">
        <v>864</v>
      </c>
      <c r="C22">
        <v>2684099.1600000015</v>
      </c>
      <c r="D22">
        <v>255954.59999999992</v>
      </c>
    </row>
    <row r="23" spans="1:4" x14ac:dyDescent="0.3">
      <c r="A23" s="4" t="s">
        <v>18</v>
      </c>
      <c r="B23">
        <v>930</v>
      </c>
      <c r="C23">
        <v>2882549.8799999985</v>
      </c>
      <c r="D23">
        <v>261979.74</v>
      </c>
    </row>
    <row r="24" spans="1:4" x14ac:dyDescent="0.3">
      <c r="A24" s="4" t="s">
        <v>19</v>
      </c>
      <c r="B24">
        <v>1182</v>
      </c>
      <c r="C24">
        <v>3658316.7599999979</v>
      </c>
      <c r="D24">
        <v>334163.58000000037</v>
      </c>
    </row>
    <row r="25" spans="1:4" x14ac:dyDescent="0.3">
      <c r="A25" s="2" t="s">
        <v>8</v>
      </c>
    </row>
    <row r="26" spans="1:4" x14ac:dyDescent="0.3">
      <c r="A26" s="3" t="s">
        <v>16</v>
      </c>
    </row>
    <row r="27" spans="1:4" x14ac:dyDescent="0.3">
      <c r="A27" s="4" t="s">
        <v>16</v>
      </c>
      <c r="B27">
        <v>324</v>
      </c>
      <c r="C27">
        <v>969546.06000000017</v>
      </c>
      <c r="D27">
        <v>99501.120000000024</v>
      </c>
    </row>
    <row r="28" spans="1:4" x14ac:dyDescent="0.3">
      <c r="A28" s="4" t="s">
        <v>20</v>
      </c>
      <c r="B28">
        <v>282</v>
      </c>
      <c r="C28">
        <v>836599.38000000012</v>
      </c>
      <c r="D28">
        <v>80325.06</v>
      </c>
    </row>
    <row r="29" spans="1:4" x14ac:dyDescent="0.3">
      <c r="A29" s="4" t="s">
        <v>21</v>
      </c>
      <c r="B29">
        <v>432</v>
      </c>
      <c r="C29">
        <v>1308006.1199999996</v>
      </c>
      <c r="D29">
        <v>127997.64000000001</v>
      </c>
    </row>
    <row r="30" spans="1:4" x14ac:dyDescent="0.3">
      <c r="A30" s="3" t="s">
        <v>20</v>
      </c>
    </row>
    <row r="31" spans="1:4" x14ac:dyDescent="0.3">
      <c r="A31" s="4" t="s">
        <v>22</v>
      </c>
      <c r="B31">
        <v>360</v>
      </c>
      <c r="C31">
        <v>1162334.4599999993</v>
      </c>
      <c r="D31">
        <v>99859.560000000012</v>
      </c>
    </row>
    <row r="32" spans="1:4" x14ac:dyDescent="0.3">
      <c r="A32" s="4" t="s">
        <v>23</v>
      </c>
      <c r="B32">
        <v>528</v>
      </c>
      <c r="C32">
        <v>1623758.2199999993</v>
      </c>
      <c r="D32">
        <v>166462.02000000005</v>
      </c>
    </row>
    <row r="33" spans="1:4" x14ac:dyDescent="0.3">
      <c r="A33" s="4" t="s">
        <v>24</v>
      </c>
      <c r="B33">
        <v>372</v>
      </c>
      <c r="C33">
        <v>1138160.2799999998</v>
      </c>
      <c r="D33">
        <v>123246.60000000005</v>
      </c>
    </row>
    <row r="34" spans="1:4" x14ac:dyDescent="0.3">
      <c r="A34" s="3" t="s">
        <v>21</v>
      </c>
    </row>
    <row r="35" spans="1:4" x14ac:dyDescent="0.3">
      <c r="A35" s="4" t="s">
        <v>25</v>
      </c>
      <c r="B35">
        <v>420</v>
      </c>
      <c r="C35">
        <v>1359564.1800000004</v>
      </c>
      <c r="D35">
        <v>137681.34000000003</v>
      </c>
    </row>
    <row r="36" spans="1:4" x14ac:dyDescent="0.3">
      <c r="A36" s="4" t="s">
        <v>26</v>
      </c>
      <c r="B36">
        <v>480</v>
      </c>
      <c r="C36">
        <v>1518088.6199999999</v>
      </c>
      <c r="D36">
        <v>132015.12</v>
      </c>
    </row>
    <row r="37" spans="1:4" x14ac:dyDescent="0.3">
      <c r="A37" s="4" t="s">
        <v>27</v>
      </c>
      <c r="B37">
        <v>426</v>
      </c>
      <c r="C37">
        <v>1254471.0000000005</v>
      </c>
      <c r="D37">
        <v>123907.8</v>
      </c>
    </row>
    <row r="38" spans="1:4" x14ac:dyDescent="0.3">
      <c r="A38" s="3" t="s">
        <v>22</v>
      </c>
    </row>
    <row r="39" spans="1:4" x14ac:dyDescent="0.3">
      <c r="A39" s="4" t="s">
        <v>17</v>
      </c>
      <c r="B39">
        <v>486</v>
      </c>
      <c r="C39">
        <v>1498728.4800000007</v>
      </c>
      <c r="D39">
        <v>149667.47999999998</v>
      </c>
    </row>
    <row r="40" spans="1:4" x14ac:dyDescent="0.3">
      <c r="A40" s="4" t="s">
        <v>18</v>
      </c>
      <c r="B40">
        <v>360</v>
      </c>
      <c r="C40">
        <v>1152975.2400000005</v>
      </c>
      <c r="D40">
        <v>110754.59999999999</v>
      </c>
    </row>
    <row r="41" spans="1:4" x14ac:dyDescent="0.3">
      <c r="A41" s="4" t="s">
        <v>19</v>
      </c>
      <c r="B41">
        <v>432</v>
      </c>
      <c r="C41">
        <v>1332509.2200000002</v>
      </c>
      <c r="D41">
        <v>126109.14000000003</v>
      </c>
    </row>
    <row r="42" spans="1:4" x14ac:dyDescent="0.3">
      <c r="A42" s="2" t="s">
        <v>9</v>
      </c>
    </row>
    <row r="43" spans="1:4" x14ac:dyDescent="0.3">
      <c r="A43" s="3" t="s">
        <v>16</v>
      </c>
    </row>
    <row r="44" spans="1:4" x14ac:dyDescent="0.3">
      <c r="A44" s="4" t="s">
        <v>16</v>
      </c>
      <c r="B44">
        <v>324</v>
      </c>
      <c r="C44">
        <v>1032135.6599999999</v>
      </c>
      <c r="D44">
        <v>102796.92000000003</v>
      </c>
    </row>
    <row r="45" spans="1:4" x14ac:dyDescent="0.3">
      <c r="A45" s="4" t="s">
        <v>20</v>
      </c>
      <c r="B45">
        <v>276</v>
      </c>
      <c r="C45">
        <v>800026.74000000046</v>
      </c>
      <c r="D45">
        <v>75224.28</v>
      </c>
    </row>
    <row r="46" spans="1:4" x14ac:dyDescent="0.3">
      <c r="A46" s="4" t="s">
        <v>21</v>
      </c>
      <c r="B46">
        <v>414</v>
      </c>
      <c r="C46">
        <v>1275662.3399999999</v>
      </c>
      <c r="D46">
        <v>126371.94</v>
      </c>
    </row>
    <row r="47" spans="1:4" x14ac:dyDescent="0.3">
      <c r="A47" s="3" t="s">
        <v>20</v>
      </c>
    </row>
    <row r="48" spans="1:4" x14ac:dyDescent="0.3">
      <c r="A48" s="4" t="s">
        <v>22</v>
      </c>
      <c r="B48">
        <v>282</v>
      </c>
      <c r="C48">
        <v>812334.12</v>
      </c>
      <c r="D48">
        <v>83674.98000000001</v>
      </c>
    </row>
    <row r="49" spans="1:4" x14ac:dyDescent="0.3">
      <c r="A49" s="4" t="s">
        <v>23</v>
      </c>
      <c r="B49">
        <v>438</v>
      </c>
      <c r="C49">
        <v>1370516.9999999995</v>
      </c>
      <c r="D49">
        <v>132740.4</v>
      </c>
    </row>
    <row r="50" spans="1:4" x14ac:dyDescent="0.3">
      <c r="A50" s="4" t="s">
        <v>24</v>
      </c>
      <c r="B50">
        <v>384</v>
      </c>
      <c r="C50">
        <v>1278667.68</v>
      </c>
      <c r="D50">
        <v>115255.98000000001</v>
      </c>
    </row>
    <row r="51" spans="1:4" x14ac:dyDescent="0.3">
      <c r="A51" s="3" t="s">
        <v>21</v>
      </c>
    </row>
    <row r="52" spans="1:4" x14ac:dyDescent="0.3">
      <c r="A52" s="4" t="s">
        <v>25</v>
      </c>
      <c r="B52">
        <v>420</v>
      </c>
      <c r="C52">
        <v>1271148.06</v>
      </c>
      <c r="D52">
        <v>133230</v>
      </c>
    </row>
    <row r="53" spans="1:4" x14ac:dyDescent="0.3">
      <c r="A53" s="4" t="s">
        <v>26</v>
      </c>
      <c r="B53">
        <v>366</v>
      </c>
      <c r="C53">
        <v>1179656.58</v>
      </c>
      <c r="D53">
        <v>119785.92000000004</v>
      </c>
    </row>
    <row r="54" spans="1:4" x14ac:dyDescent="0.3">
      <c r="A54" s="4" t="s">
        <v>27</v>
      </c>
      <c r="B54">
        <v>354</v>
      </c>
      <c r="C54">
        <v>1142465.0999999999</v>
      </c>
      <c r="D54">
        <v>106995.36000000002</v>
      </c>
    </row>
    <row r="55" spans="1:4" x14ac:dyDescent="0.3">
      <c r="A55" s="3" t="s">
        <v>22</v>
      </c>
    </row>
    <row r="56" spans="1:4" x14ac:dyDescent="0.3">
      <c r="A56" s="4" t="s">
        <v>17</v>
      </c>
      <c r="B56">
        <v>384</v>
      </c>
      <c r="C56">
        <v>1273996.5</v>
      </c>
      <c r="D56">
        <v>111051.77999999998</v>
      </c>
    </row>
    <row r="57" spans="1:4" x14ac:dyDescent="0.3">
      <c r="A57" s="4" t="s">
        <v>18</v>
      </c>
      <c r="B57">
        <v>294</v>
      </c>
      <c r="C57">
        <v>883867.02000000025</v>
      </c>
      <c r="D57">
        <v>93265.44</v>
      </c>
    </row>
    <row r="58" spans="1:4" x14ac:dyDescent="0.3">
      <c r="A58" s="4" t="s">
        <v>19</v>
      </c>
      <c r="B58">
        <v>378</v>
      </c>
      <c r="C58">
        <v>1153148.5200000005</v>
      </c>
      <c r="D58">
        <v>111284.16</v>
      </c>
    </row>
    <row r="59" spans="1:4" x14ac:dyDescent="0.3">
      <c r="A59" s="2" t="s">
        <v>10</v>
      </c>
    </row>
    <row r="60" spans="1:4" x14ac:dyDescent="0.3">
      <c r="A60" s="3" t="s">
        <v>16</v>
      </c>
    </row>
    <row r="61" spans="1:4" x14ac:dyDescent="0.3">
      <c r="A61" s="4" t="s">
        <v>16</v>
      </c>
      <c r="B61">
        <v>846</v>
      </c>
      <c r="C61">
        <v>2787150.2399999998</v>
      </c>
      <c r="D61">
        <v>254859.90000000011</v>
      </c>
    </row>
    <row r="62" spans="1:4" x14ac:dyDescent="0.3">
      <c r="A62" s="4" t="s">
        <v>20</v>
      </c>
      <c r="B62">
        <v>762</v>
      </c>
      <c r="C62">
        <v>2424635.5199999991</v>
      </c>
      <c r="D62">
        <v>227339.09999999992</v>
      </c>
    </row>
    <row r="63" spans="1:4" x14ac:dyDescent="0.3">
      <c r="A63" s="4" t="s">
        <v>21</v>
      </c>
      <c r="B63">
        <v>912</v>
      </c>
      <c r="C63">
        <v>2720712.6</v>
      </c>
      <c r="D63">
        <v>275584.55999999994</v>
      </c>
    </row>
    <row r="64" spans="1:4" x14ac:dyDescent="0.3">
      <c r="A64" s="3" t="s">
        <v>20</v>
      </c>
    </row>
    <row r="65" spans="1:4" x14ac:dyDescent="0.3">
      <c r="A65" s="4" t="s">
        <v>22</v>
      </c>
      <c r="B65">
        <v>738</v>
      </c>
      <c r="C65">
        <v>2232459.9</v>
      </c>
      <c r="D65">
        <v>215686.08000000002</v>
      </c>
    </row>
    <row r="66" spans="1:4" x14ac:dyDescent="0.3">
      <c r="A66" s="4" t="s">
        <v>23</v>
      </c>
      <c r="B66">
        <v>876</v>
      </c>
      <c r="C66">
        <v>2645709.1799999997</v>
      </c>
      <c r="D66">
        <v>275329.8</v>
      </c>
    </row>
    <row r="67" spans="1:4" x14ac:dyDescent="0.3">
      <c r="A67" s="4" t="s">
        <v>24</v>
      </c>
      <c r="B67">
        <v>810</v>
      </c>
      <c r="C67">
        <v>2441228.8200000008</v>
      </c>
      <c r="D67">
        <v>239683.02000000005</v>
      </c>
    </row>
    <row r="68" spans="1:4" x14ac:dyDescent="0.3">
      <c r="A68" s="3" t="s">
        <v>21</v>
      </c>
    </row>
    <row r="69" spans="1:4" x14ac:dyDescent="0.3">
      <c r="A69" s="4" t="s">
        <v>25</v>
      </c>
      <c r="B69">
        <v>672</v>
      </c>
      <c r="C69">
        <v>2021706.96</v>
      </c>
      <c r="D69">
        <v>191747.69999999995</v>
      </c>
    </row>
    <row r="70" spans="1:4" x14ac:dyDescent="0.3">
      <c r="A70" s="4" t="s">
        <v>26</v>
      </c>
      <c r="B70">
        <v>822</v>
      </c>
      <c r="C70">
        <v>2367195.7799999984</v>
      </c>
      <c r="D70">
        <v>252939.83999999997</v>
      </c>
    </row>
    <row r="71" spans="1:4" x14ac:dyDescent="0.3">
      <c r="A71" s="4" t="s">
        <v>27</v>
      </c>
      <c r="B71">
        <v>810</v>
      </c>
      <c r="C71">
        <v>2291473.7399999998</v>
      </c>
      <c r="D71">
        <v>225550.74</v>
      </c>
    </row>
    <row r="72" spans="1:4" x14ac:dyDescent="0.3">
      <c r="A72" s="3" t="s">
        <v>22</v>
      </c>
    </row>
    <row r="73" spans="1:4" x14ac:dyDescent="0.3">
      <c r="A73" s="4" t="s">
        <v>17</v>
      </c>
      <c r="B73">
        <v>780</v>
      </c>
      <c r="C73">
        <v>2281409.7000000007</v>
      </c>
      <c r="D73">
        <v>233165.15999999997</v>
      </c>
    </row>
    <row r="74" spans="1:4" x14ac:dyDescent="0.3">
      <c r="A74" s="4" t="s">
        <v>18</v>
      </c>
      <c r="B74">
        <v>780</v>
      </c>
      <c r="C74">
        <v>2312778.7799999998</v>
      </c>
      <c r="D74">
        <v>236718.78000000012</v>
      </c>
    </row>
    <row r="75" spans="1:4" x14ac:dyDescent="0.3">
      <c r="A75" s="4" t="s">
        <v>19</v>
      </c>
      <c r="B75">
        <v>816</v>
      </c>
      <c r="C75">
        <v>2377071.96</v>
      </c>
      <c r="D75">
        <v>244790.70000000004</v>
      </c>
    </row>
    <row r="76" spans="1:4" x14ac:dyDescent="0.3">
      <c r="A76" s="2" t="s">
        <v>11</v>
      </c>
    </row>
    <row r="77" spans="1:4" x14ac:dyDescent="0.3">
      <c r="A77" s="3" t="s">
        <v>16</v>
      </c>
    </row>
    <row r="78" spans="1:4" x14ac:dyDescent="0.3">
      <c r="A78" s="4" t="s">
        <v>16</v>
      </c>
      <c r="B78">
        <v>630</v>
      </c>
      <c r="C78">
        <v>1862317.0799999996</v>
      </c>
      <c r="D78">
        <v>182073.11999999994</v>
      </c>
    </row>
    <row r="79" spans="1:4" x14ac:dyDescent="0.3">
      <c r="A79" s="4" t="s">
        <v>20</v>
      </c>
      <c r="B79">
        <v>474</v>
      </c>
      <c r="C79">
        <v>1492708.9799999997</v>
      </c>
      <c r="D79">
        <v>142858.19999999998</v>
      </c>
    </row>
    <row r="80" spans="1:4" x14ac:dyDescent="0.3">
      <c r="A80" s="4" t="s">
        <v>21</v>
      </c>
      <c r="B80">
        <v>642</v>
      </c>
      <c r="C80">
        <v>1864974.7799999993</v>
      </c>
      <c r="D80">
        <v>177555.95999999996</v>
      </c>
    </row>
    <row r="81" spans="1:4" x14ac:dyDescent="0.3">
      <c r="A81" s="3" t="s">
        <v>20</v>
      </c>
    </row>
    <row r="82" spans="1:4" x14ac:dyDescent="0.3">
      <c r="A82" s="4" t="s">
        <v>22</v>
      </c>
      <c r="B82">
        <v>594</v>
      </c>
      <c r="C82">
        <v>1738297.3199999998</v>
      </c>
      <c r="D82">
        <v>167250.4200000001</v>
      </c>
    </row>
    <row r="83" spans="1:4" x14ac:dyDescent="0.3">
      <c r="A83" s="4" t="s">
        <v>23</v>
      </c>
      <c r="B83">
        <v>564</v>
      </c>
      <c r="C83">
        <v>1671166.2000000007</v>
      </c>
      <c r="D83">
        <v>174665.15999999997</v>
      </c>
    </row>
    <row r="84" spans="1:4" x14ac:dyDescent="0.3">
      <c r="A84" s="4" t="s">
        <v>24</v>
      </c>
      <c r="B84">
        <v>618</v>
      </c>
      <c r="C84">
        <v>1814114.52</v>
      </c>
      <c r="D84">
        <v>192566.88000000009</v>
      </c>
    </row>
    <row r="85" spans="1:4" x14ac:dyDescent="0.3">
      <c r="A85" s="3" t="s">
        <v>21</v>
      </c>
    </row>
    <row r="86" spans="1:4" x14ac:dyDescent="0.3">
      <c r="A86" s="4" t="s">
        <v>25</v>
      </c>
      <c r="B86">
        <v>594</v>
      </c>
      <c r="C86">
        <v>1872847.9799999997</v>
      </c>
      <c r="D86">
        <v>176871.18</v>
      </c>
    </row>
    <row r="87" spans="1:4" x14ac:dyDescent="0.3">
      <c r="A87" s="4" t="s">
        <v>26</v>
      </c>
      <c r="B87">
        <v>618</v>
      </c>
      <c r="C87">
        <v>1984161.7799999991</v>
      </c>
      <c r="D87">
        <v>187258.02</v>
      </c>
    </row>
    <row r="88" spans="1:4" x14ac:dyDescent="0.3">
      <c r="A88" s="4" t="s">
        <v>27</v>
      </c>
      <c r="B88">
        <v>606</v>
      </c>
      <c r="C88">
        <v>1935192.6600000001</v>
      </c>
      <c r="D88">
        <v>175293.18000000005</v>
      </c>
    </row>
    <row r="89" spans="1:4" x14ac:dyDescent="0.3">
      <c r="A89" s="3" t="s">
        <v>22</v>
      </c>
    </row>
    <row r="90" spans="1:4" x14ac:dyDescent="0.3">
      <c r="A90" s="4" t="s">
        <v>17</v>
      </c>
      <c r="B90">
        <v>684</v>
      </c>
      <c r="C90">
        <v>2160216.12</v>
      </c>
      <c r="D90">
        <v>197001.83999999997</v>
      </c>
    </row>
    <row r="91" spans="1:4" x14ac:dyDescent="0.3">
      <c r="A91" s="4" t="s">
        <v>18</v>
      </c>
      <c r="B91">
        <v>624</v>
      </c>
      <c r="C91">
        <v>1684985.8800000004</v>
      </c>
      <c r="D91">
        <v>194457.3600000001</v>
      </c>
    </row>
    <row r="92" spans="1:4" x14ac:dyDescent="0.3">
      <c r="A92" s="4" t="s">
        <v>19</v>
      </c>
      <c r="B92">
        <v>702</v>
      </c>
      <c r="C92">
        <v>2210906.0400000014</v>
      </c>
      <c r="D92">
        <v>221279.88000000003</v>
      </c>
    </row>
    <row r="93" spans="1:4" x14ac:dyDescent="0.3">
      <c r="A93" s="2" t="s">
        <v>12</v>
      </c>
    </row>
    <row r="94" spans="1:4" x14ac:dyDescent="0.3">
      <c r="A94" s="3" t="s">
        <v>16</v>
      </c>
    </row>
    <row r="95" spans="1:4" x14ac:dyDescent="0.3">
      <c r="A95" s="4" t="s">
        <v>16</v>
      </c>
      <c r="B95">
        <v>450</v>
      </c>
      <c r="C95">
        <v>1404288.84</v>
      </c>
      <c r="D95">
        <v>135119.87999999998</v>
      </c>
    </row>
    <row r="96" spans="1:4" x14ac:dyDescent="0.3">
      <c r="A96" s="4" t="s">
        <v>20</v>
      </c>
      <c r="B96">
        <v>450</v>
      </c>
      <c r="C96">
        <v>1388947.8600000006</v>
      </c>
      <c r="D96">
        <v>139148.51999999999</v>
      </c>
    </row>
    <row r="97" spans="1:4" x14ac:dyDescent="0.3">
      <c r="A97" s="4" t="s">
        <v>21</v>
      </c>
      <c r="B97">
        <v>498</v>
      </c>
      <c r="C97">
        <v>1589576.1000000003</v>
      </c>
      <c r="D97">
        <v>156555.47999999998</v>
      </c>
    </row>
    <row r="98" spans="1:4" x14ac:dyDescent="0.3">
      <c r="A98" s="3" t="s">
        <v>20</v>
      </c>
    </row>
    <row r="99" spans="1:4" x14ac:dyDescent="0.3">
      <c r="A99" s="4" t="s">
        <v>22</v>
      </c>
      <c r="B99">
        <v>438</v>
      </c>
      <c r="C99">
        <v>1353172.08</v>
      </c>
      <c r="D99">
        <v>136851.06</v>
      </c>
    </row>
    <row r="100" spans="1:4" x14ac:dyDescent="0.3">
      <c r="A100" s="4" t="s">
        <v>23</v>
      </c>
      <c r="B100">
        <v>570</v>
      </c>
      <c r="C100">
        <v>1735448.6399999994</v>
      </c>
      <c r="D100">
        <v>172369.92000000004</v>
      </c>
    </row>
    <row r="101" spans="1:4" x14ac:dyDescent="0.3">
      <c r="A101" s="4" t="s">
        <v>24</v>
      </c>
      <c r="B101">
        <v>522</v>
      </c>
      <c r="C101">
        <v>1580151.8400000003</v>
      </c>
      <c r="D101">
        <v>159322.79999999999</v>
      </c>
    </row>
    <row r="102" spans="1:4" x14ac:dyDescent="0.3">
      <c r="A102" s="3" t="s">
        <v>21</v>
      </c>
    </row>
    <row r="103" spans="1:4" x14ac:dyDescent="0.3">
      <c r="A103" s="4" t="s">
        <v>25</v>
      </c>
      <c r="B103">
        <v>654</v>
      </c>
      <c r="C103">
        <v>2087667.48</v>
      </c>
      <c r="D103">
        <v>176190.18000000014</v>
      </c>
    </row>
    <row r="104" spans="1:4" x14ac:dyDescent="0.3">
      <c r="A104" s="4" t="s">
        <v>26</v>
      </c>
      <c r="B104">
        <v>486</v>
      </c>
      <c r="C104">
        <v>1431996.84</v>
      </c>
      <c r="D104">
        <v>152966.57999999996</v>
      </c>
    </row>
    <row r="105" spans="1:4" x14ac:dyDescent="0.3">
      <c r="A105" s="4" t="s">
        <v>27</v>
      </c>
      <c r="B105">
        <v>516</v>
      </c>
      <c r="C105">
        <v>1589160.8400000003</v>
      </c>
      <c r="D105">
        <v>152048.76</v>
      </c>
    </row>
    <row r="106" spans="1:4" x14ac:dyDescent="0.3">
      <c r="A106" s="3" t="s">
        <v>22</v>
      </c>
    </row>
    <row r="107" spans="1:4" x14ac:dyDescent="0.3">
      <c r="A107" s="4" t="s">
        <v>17</v>
      </c>
      <c r="B107">
        <v>546</v>
      </c>
      <c r="C107">
        <v>1713587.8800000006</v>
      </c>
      <c r="D107">
        <v>153932.88</v>
      </c>
    </row>
    <row r="108" spans="1:4" x14ac:dyDescent="0.3">
      <c r="A108" s="4" t="s">
        <v>18</v>
      </c>
      <c r="B108">
        <v>504</v>
      </c>
      <c r="C108">
        <v>1524376.26</v>
      </c>
      <c r="D108">
        <v>137729.4</v>
      </c>
    </row>
    <row r="109" spans="1:4" x14ac:dyDescent="0.3">
      <c r="A109" s="4" t="s">
        <v>19</v>
      </c>
      <c r="B109">
        <v>492</v>
      </c>
      <c r="C109">
        <v>1565124.5399999998</v>
      </c>
      <c r="D109">
        <v>159117.41999999998</v>
      </c>
    </row>
    <row r="110" spans="1:4" x14ac:dyDescent="0.3">
      <c r="A110" s="2" t="s">
        <v>13</v>
      </c>
    </row>
    <row r="111" spans="1:4" x14ac:dyDescent="0.3">
      <c r="A111" s="3" t="s">
        <v>16</v>
      </c>
    </row>
    <row r="112" spans="1:4" x14ac:dyDescent="0.3">
      <c r="A112" s="4" t="s">
        <v>16</v>
      </c>
      <c r="B112">
        <v>510</v>
      </c>
      <c r="C112">
        <v>1531633.1400000001</v>
      </c>
      <c r="D112">
        <v>158859.78</v>
      </c>
    </row>
    <row r="113" spans="1:4" x14ac:dyDescent="0.3">
      <c r="A113" s="4" t="s">
        <v>20</v>
      </c>
      <c r="B113">
        <v>570</v>
      </c>
      <c r="C113">
        <v>1727263.6200000003</v>
      </c>
      <c r="D113">
        <v>171750.84</v>
      </c>
    </row>
    <row r="114" spans="1:4" x14ac:dyDescent="0.3">
      <c r="A114" s="4" t="s">
        <v>21</v>
      </c>
      <c r="B114">
        <v>654</v>
      </c>
      <c r="C114">
        <v>2016739.8600000008</v>
      </c>
      <c r="D114">
        <v>189194.81999999992</v>
      </c>
    </row>
    <row r="115" spans="1:4" x14ac:dyDescent="0.3">
      <c r="A115" s="3" t="s">
        <v>20</v>
      </c>
    </row>
    <row r="116" spans="1:4" x14ac:dyDescent="0.3">
      <c r="A116" s="4" t="s">
        <v>22</v>
      </c>
      <c r="B116">
        <v>606</v>
      </c>
      <c r="C116">
        <v>1949056.6199999999</v>
      </c>
      <c r="D116">
        <v>177267.89999999997</v>
      </c>
    </row>
    <row r="117" spans="1:4" x14ac:dyDescent="0.3">
      <c r="A117" s="4" t="s">
        <v>23</v>
      </c>
      <c r="B117">
        <v>744</v>
      </c>
      <c r="C117">
        <v>2181443.4000000004</v>
      </c>
      <c r="D117">
        <v>218637.9</v>
      </c>
    </row>
    <row r="118" spans="1:4" x14ac:dyDescent="0.3">
      <c r="A118" s="4" t="s">
        <v>24</v>
      </c>
      <c r="B118">
        <v>600</v>
      </c>
      <c r="C118">
        <v>1808052.1799999992</v>
      </c>
      <c r="D118">
        <v>177961.38000000009</v>
      </c>
    </row>
    <row r="119" spans="1:4" x14ac:dyDescent="0.3">
      <c r="A119" s="3" t="s">
        <v>21</v>
      </c>
    </row>
    <row r="120" spans="1:4" x14ac:dyDescent="0.3">
      <c r="A120" s="4" t="s">
        <v>25</v>
      </c>
      <c r="B120">
        <v>672</v>
      </c>
      <c r="C120">
        <v>2007918.0599999989</v>
      </c>
      <c r="D120">
        <v>207026.99999999994</v>
      </c>
    </row>
    <row r="121" spans="1:4" x14ac:dyDescent="0.3">
      <c r="A121" s="4" t="s">
        <v>26</v>
      </c>
      <c r="B121">
        <v>672</v>
      </c>
      <c r="C121">
        <v>1961684.7600000007</v>
      </c>
      <c r="D121">
        <v>192710.81999999989</v>
      </c>
    </row>
    <row r="122" spans="1:4" x14ac:dyDescent="0.3">
      <c r="A122" s="4" t="s">
        <v>27</v>
      </c>
      <c r="B122">
        <v>654</v>
      </c>
      <c r="C122">
        <v>1894334.0400000005</v>
      </c>
      <c r="D122">
        <v>192470.76000000004</v>
      </c>
    </row>
    <row r="123" spans="1:4" x14ac:dyDescent="0.3">
      <c r="A123" s="3" t="s">
        <v>22</v>
      </c>
    </row>
    <row r="124" spans="1:4" x14ac:dyDescent="0.3">
      <c r="A124" s="4" t="s">
        <v>17</v>
      </c>
      <c r="B124">
        <v>654</v>
      </c>
      <c r="C124">
        <v>2046392.7000000004</v>
      </c>
      <c r="D124">
        <v>196023.48</v>
      </c>
    </row>
    <row r="125" spans="1:4" x14ac:dyDescent="0.3">
      <c r="A125" s="4" t="s">
        <v>18</v>
      </c>
      <c r="B125">
        <v>534</v>
      </c>
      <c r="C125">
        <v>1682622.2999999998</v>
      </c>
      <c r="D125">
        <v>156957.78000000003</v>
      </c>
    </row>
    <row r="126" spans="1:4" x14ac:dyDescent="0.3">
      <c r="A126" s="4" t="s">
        <v>19</v>
      </c>
      <c r="B126">
        <v>546</v>
      </c>
      <c r="C126">
        <v>1697908.6199999996</v>
      </c>
      <c r="D126">
        <v>159874.32</v>
      </c>
    </row>
    <row r="127" spans="1:4" x14ac:dyDescent="0.3">
      <c r="A127" s="2" t="s">
        <v>14</v>
      </c>
    </row>
    <row r="128" spans="1:4" x14ac:dyDescent="0.3">
      <c r="A128" s="3" t="s">
        <v>16</v>
      </c>
    </row>
    <row r="129" spans="1:4" x14ac:dyDescent="0.3">
      <c r="A129" s="4" t="s">
        <v>16</v>
      </c>
      <c r="B129">
        <v>828</v>
      </c>
      <c r="C129">
        <v>2401699.3200000003</v>
      </c>
      <c r="D129">
        <v>254443.19999999992</v>
      </c>
    </row>
    <row r="130" spans="1:4" x14ac:dyDescent="0.3">
      <c r="A130" s="4" t="s">
        <v>20</v>
      </c>
      <c r="B130">
        <v>714</v>
      </c>
      <c r="C130">
        <v>2001554.1600000006</v>
      </c>
      <c r="D130">
        <v>239146.80000000002</v>
      </c>
    </row>
    <row r="131" spans="1:4" x14ac:dyDescent="0.3">
      <c r="A131" s="4" t="s">
        <v>21</v>
      </c>
      <c r="B131">
        <v>756</v>
      </c>
      <c r="C131">
        <v>2327729.939999999</v>
      </c>
      <c r="D131">
        <v>220246.91999999993</v>
      </c>
    </row>
    <row r="132" spans="1:4" x14ac:dyDescent="0.3">
      <c r="A132" s="3" t="s">
        <v>20</v>
      </c>
    </row>
    <row r="133" spans="1:4" x14ac:dyDescent="0.3">
      <c r="A133" s="4" t="s">
        <v>22</v>
      </c>
      <c r="B133">
        <v>708</v>
      </c>
      <c r="C133">
        <v>2161513.6799999997</v>
      </c>
      <c r="D133">
        <v>206414.03999999992</v>
      </c>
    </row>
    <row r="134" spans="1:4" x14ac:dyDescent="0.3">
      <c r="A134" s="4" t="s">
        <v>23</v>
      </c>
      <c r="B134">
        <v>696</v>
      </c>
      <c r="C134">
        <v>2126229.0599999991</v>
      </c>
      <c r="D134">
        <v>207868.08000000002</v>
      </c>
    </row>
    <row r="135" spans="1:4" x14ac:dyDescent="0.3">
      <c r="A135" s="4" t="s">
        <v>24</v>
      </c>
      <c r="B135">
        <v>690</v>
      </c>
      <c r="C135">
        <v>2122600.7999999993</v>
      </c>
      <c r="D135">
        <v>206131.25999999989</v>
      </c>
    </row>
    <row r="136" spans="1:4" x14ac:dyDescent="0.3">
      <c r="A136" s="3" t="s">
        <v>21</v>
      </c>
    </row>
    <row r="137" spans="1:4" x14ac:dyDescent="0.3">
      <c r="A137" s="4" t="s">
        <v>25</v>
      </c>
      <c r="B137">
        <v>642</v>
      </c>
      <c r="C137">
        <v>1863890.5200000003</v>
      </c>
      <c r="D137">
        <v>191412.47999999998</v>
      </c>
    </row>
    <row r="138" spans="1:4" x14ac:dyDescent="0.3">
      <c r="A138" s="4" t="s">
        <v>26</v>
      </c>
      <c r="B138">
        <v>684</v>
      </c>
      <c r="C138">
        <v>1953916.0200000009</v>
      </c>
      <c r="D138">
        <v>207983.16</v>
      </c>
    </row>
    <row r="139" spans="1:4" x14ac:dyDescent="0.3">
      <c r="A139" s="4" t="s">
        <v>27</v>
      </c>
      <c r="B139">
        <v>714</v>
      </c>
      <c r="C139">
        <v>2106329.1600000006</v>
      </c>
      <c r="D139">
        <v>205752.53999999995</v>
      </c>
    </row>
    <row r="140" spans="1:4" x14ac:dyDescent="0.3">
      <c r="A140" s="3" t="s">
        <v>22</v>
      </c>
    </row>
    <row r="141" spans="1:4" x14ac:dyDescent="0.3">
      <c r="A141" s="4" t="s">
        <v>17</v>
      </c>
      <c r="B141">
        <v>594</v>
      </c>
      <c r="C141">
        <v>1716823.6199999996</v>
      </c>
      <c r="D141">
        <v>169829.63999999996</v>
      </c>
    </row>
    <row r="142" spans="1:4" x14ac:dyDescent="0.3">
      <c r="A142" s="4" t="s">
        <v>18</v>
      </c>
      <c r="B142">
        <v>816</v>
      </c>
      <c r="C142">
        <v>2237748.2400000002</v>
      </c>
      <c r="D142">
        <v>250744.43999999994</v>
      </c>
    </row>
    <row r="143" spans="1:4" x14ac:dyDescent="0.3">
      <c r="A143" s="4" t="s">
        <v>19</v>
      </c>
      <c r="B143">
        <v>654</v>
      </c>
      <c r="C143">
        <v>1897536.2999999996</v>
      </c>
      <c r="D143">
        <v>196642.92000000004</v>
      </c>
    </row>
    <row r="144" spans="1:4" x14ac:dyDescent="0.3">
      <c r="A144" s="2" t="s">
        <v>6</v>
      </c>
      <c r="B144">
        <v>60000</v>
      </c>
      <c r="C144">
        <v>182281939.79999998</v>
      </c>
      <c r="D144">
        <v>17917181.75999999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7F76-EEFE-4324-A9D2-4E20610D664C}">
  <dimension ref="A5:E7"/>
  <sheetViews>
    <sheetView zoomScale="115" zoomScaleNormal="115" workbookViewId="0">
      <selection activeCell="A5" sqref="A5"/>
    </sheetView>
  </sheetViews>
  <sheetFormatPr defaultRowHeight="14.4" x14ac:dyDescent="0.3"/>
  <cols>
    <col min="1" max="1" width="12.44140625" bestFit="1" customWidth="1"/>
    <col min="2" max="2" width="15.33203125" bestFit="1" customWidth="1"/>
    <col min="3" max="5" width="12.5546875" bestFit="1" customWidth="1"/>
    <col min="6" max="6" width="19.88671875" bestFit="1" customWidth="1"/>
    <col min="7" max="7" width="12.5546875" bestFit="1" customWidth="1"/>
    <col min="8" max="8" width="15.88671875" bestFit="1" customWidth="1"/>
    <col min="9" max="9" width="16.77734375" bestFit="1" customWidth="1"/>
  </cols>
  <sheetData>
    <row r="5" spans="1:5" x14ac:dyDescent="0.3">
      <c r="A5" s="1" t="s">
        <v>4</v>
      </c>
      <c r="B5" t="s">
        <v>2</v>
      </c>
      <c r="C5" t="s">
        <v>0</v>
      </c>
      <c r="D5" t="s">
        <v>1</v>
      </c>
      <c r="E5" t="s">
        <v>3</v>
      </c>
    </row>
    <row r="6" spans="1:5" x14ac:dyDescent="0.3">
      <c r="A6" s="2" t="s">
        <v>5</v>
      </c>
      <c r="B6">
        <v>80000</v>
      </c>
      <c r="C6">
        <v>219153010.71999997</v>
      </c>
      <c r="D6">
        <v>23889575.679999992</v>
      </c>
      <c r="E6">
        <v>243042586.39999992</v>
      </c>
    </row>
    <row r="7" spans="1:5" x14ac:dyDescent="0.3">
      <c r="A7" s="2" t="s">
        <v>6</v>
      </c>
      <c r="B7">
        <v>80000</v>
      </c>
      <c r="C7">
        <v>219153010.71999997</v>
      </c>
      <c r="D7">
        <v>23889575.679999992</v>
      </c>
      <c r="E7">
        <v>243042586.39999992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Dice</vt:lpstr>
      <vt:lpstr>Pivot</vt:lpstr>
      <vt:lpstr>Slice</vt:lpstr>
      <vt:lpstr>Drill-down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Gimhani pabodha</dc:creator>
  <cp:lastModifiedBy>Gimhani pabodha</cp:lastModifiedBy>
  <dcterms:created xsi:type="dcterms:W3CDTF">2026-03-31T08:18:23Z</dcterms:created>
  <dcterms:modified xsi:type="dcterms:W3CDTF">2026-04-28T10:16:07Z</dcterms:modified>
</cp:coreProperties>
</file>